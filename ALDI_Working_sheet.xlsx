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a3e12a7b27bfaed9/Documents/WORKING DOCUMENTS/"/>
    </mc:Choice>
  </mc:AlternateContent>
  <xr:revisionPtr revIDLastSave="1191" documentId="13_ncr:1_{0880FAEE-164A-497D-9AB7-42485141B505}" xr6:coauthVersionLast="47" xr6:coauthVersionMax="47" xr10:uidLastSave="{B8E522BE-CF5D-493F-8348-A05CCF58EF54}"/>
  <workbookProtection workbookAlgorithmName="SHA-512" workbookHashValue="eS4eVQh+JM4+v6XrYCvk6Mm++6BCZKsHvFMwYT6aFClE1CNEXi5DH7ca+scK6/LxDpl8T3Noprv6e5Ronw41Ag==" workbookSaltValue="ckHcxViDNghyHBDV/JR5Cw==" workbookSpinCount="100000" lockStructure="1"/>
  <bookViews>
    <workbookView xWindow="-108" yWindow="-108" windowWidth="23256" windowHeight="12456" firstSheet="1" activeTab="7" xr2:uid="{BAD1563E-BF66-443A-A964-5778605BF382}"/>
  </bookViews>
  <sheets>
    <sheet name="Initial Data" sheetId="1" r:id="rId1"/>
    <sheet name="Cleaned Data" sheetId="5" r:id="rId2"/>
    <sheet name="Calculated columns Data" sheetId="12" r:id="rId3"/>
    <sheet name="Pivot Table" sheetId="21" r:id="rId4"/>
    <sheet name="rev by month" sheetId="27" state="hidden" r:id="rId5"/>
    <sheet name="rev by product" sheetId="26" state="hidden" r:id="rId6"/>
    <sheet name="Matrix" sheetId="28" state="hidden" r:id="rId7"/>
    <sheet name="Dashboard" sheetId="22" r:id="rId8"/>
  </sheets>
  <definedNames>
    <definedName name="ExternalData_1" localSheetId="2" hidden="1">'Calculated columns Data'!$A$1:$J$1001</definedName>
    <definedName name="Slicer_Month">#N/A</definedName>
    <definedName name="Slicer_Produc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2" l="1"/>
  <c r="K5" i="28"/>
  <c r="L5" i="28"/>
  <c r="M5" i="28"/>
  <c r="N5" i="28"/>
  <c r="O5" i="28"/>
  <c r="P5" i="28"/>
  <c r="K6" i="28"/>
  <c r="L6" i="28"/>
  <c r="M6" i="28"/>
  <c r="N6" i="28"/>
  <c r="O6" i="28"/>
  <c r="P6" i="28"/>
  <c r="K7" i="28"/>
  <c r="L7" i="28"/>
  <c r="M7" i="28"/>
  <c r="N7" i="28"/>
  <c r="O7" i="28"/>
  <c r="P7" i="28"/>
  <c r="K8" i="28"/>
  <c r="L8" i="28"/>
  <c r="M8" i="28"/>
  <c r="N8" i="28"/>
  <c r="O8" i="28"/>
  <c r="P8" i="28"/>
  <c r="K9" i="28"/>
  <c r="L9" i="28"/>
  <c r="M9" i="28"/>
  <c r="N9" i="28"/>
  <c r="O9" i="28"/>
  <c r="P9" i="28"/>
  <c r="K10" i="28"/>
  <c r="L10" i="28"/>
  <c r="M10" i="28"/>
  <c r="N10" i="28"/>
  <c r="O10" i="28"/>
  <c r="P10" i="28"/>
  <c r="K11" i="28"/>
  <c r="L11" i="28"/>
  <c r="M11" i="28"/>
  <c r="N11" i="28"/>
  <c r="O11" i="28"/>
  <c r="P11" i="28"/>
  <c r="K12" i="28"/>
  <c r="L12" i="28"/>
  <c r="M12" i="28"/>
  <c r="N12" i="28"/>
  <c r="O12" i="28"/>
  <c r="P12" i="28"/>
  <c r="K13" i="28"/>
  <c r="L13" i="28"/>
  <c r="M13" i="28"/>
  <c r="N13" i="28"/>
  <c r="O13" i="28"/>
  <c r="P13" i="28"/>
  <c r="L4" i="28"/>
  <c r="M4" i="28"/>
  <c r="N4" i="28"/>
  <c r="O4" i="28"/>
  <c r="P4" i="28"/>
  <c r="K4" i="28"/>
  <c r="L3" i="28"/>
  <c r="M3" i="28"/>
  <c r="N3" i="28"/>
  <c r="O3" i="28"/>
  <c r="P3" i="28"/>
  <c r="K3" i="28"/>
  <c r="J5" i="28"/>
  <c r="J6" i="28"/>
  <c r="J7" i="28"/>
  <c r="J8" i="28"/>
  <c r="J9" i="28"/>
  <c r="J10" i="28"/>
  <c r="J11" i="28"/>
  <c r="J12" i="28"/>
  <c r="J13" i="28"/>
  <c r="J4" i="28"/>
  <c r="I989" i="1"/>
  <c r="L20" i="2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4443F1-C86B-4E40-9C43-B73B2B5ECB94}" keepAlive="1" name="Query - ALDI" description="Connection to the 'ALDI' query in the workbook." type="5" refreshedVersion="0" background="1">
    <dbPr connection="Provider=Microsoft.Mashup.OleDb.1;Data Source=$Workbook$;Location=ALDI;Extended Properties=&quot;&quot;" command="SELECT * FROM [ALDI]"/>
  </connection>
  <connection id="2" xr16:uid="{39CB27FB-5CE8-4362-9B65-00EA1DC9214F}"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3" xr16:uid="{B856B324-201C-400A-896A-47E274E2B439}"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 id="4" xr16:uid="{B220586C-6B90-4553-9C5F-FD135AA2BAF1}" keepAlive="1" name="Query - Table1 (2)" description="Connection to the 'Table1 (2)' query in the workbook." type="5" refreshedVersion="0" background="1" saveData="1">
    <dbPr connection="Provider=Microsoft.Mashup.OleDb.1;Data Source=$Workbook$;Location=&quot;Table1 (2)&quot;;Extended Properties=&quot;&quot;" command="SELECT * FROM [Table1 (2)]"/>
  </connection>
  <connection id="5" xr16:uid="{B574BCA7-76C0-40B1-BD71-6EF52765611A}" keepAlive="1" name="Query - Table4" description="Connection to the 'Table4' query in the workbook." type="5" refreshedVersion="0" background="1">
    <dbPr connection="Provider=Microsoft.Mashup.OleDb.1;Data Source=$Workbook$;Location=Table4;Extended Properties=&quot;&quot;" command="SELECT * FROM [Table4]"/>
  </connection>
  <connection id="6" xr16:uid="{122FA0FA-546E-4C56-B8BA-6E9E95C63DA6}" keepAlive="1" name="Query - Table4 (2)" description="Connection to the 'Table4 (2)' query in the workbook." type="5" refreshedVersion="8" background="1" saveData="1">
    <dbPr connection="Provider=Microsoft.Mashup.OleDb.1;Data Source=$Workbook$;Location=&quot;Table4 (2)&quot;;Extended Properties=&quot;&quot;" command="SELECT * FROM [Table4 (2)]"/>
  </connection>
</connections>
</file>

<file path=xl/sharedStrings.xml><?xml version="1.0" encoding="utf-8"?>
<sst xmlns="http://schemas.openxmlformats.org/spreadsheetml/2006/main" count="12899" uniqueCount="1381">
  <si>
    <t>Sale Date</t>
  </si>
  <si>
    <t>Customer Name</t>
  </si>
  <si>
    <t>Product</t>
  </si>
  <si>
    <t>Store Location</t>
  </si>
  <si>
    <t>01/04/2025</t>
  </si>
  <si>
    <t>Victoria Green</t>
  </si>
  <si>
    <t>Phone</t>
  </si>
  <si>
    <t>Store C</t>
  </si>
  <si>
    <t>09/09/2025</t>
  </si>
  <si>
    <t>Austin Johnson</t>
  </si>
  <si>
    <t>Laptop</t>
  </si>
  <si>
    <t>Store A</t>
  </si>
  <si>
    <t>01/02/2025</t>
  </si>
  <si>
    <t>Mary West</t>
  </si>
  <si>
    <t>Tablet</t>
  </si>
  <si>
    <t>Store D</t>
  </si>
  <si>
    <t>12/26/2025</t>
  </si>
  <si>
    <t>Jesse Williams</t>
  </si>
  <si>
    <t>Smartwatch</t>
  </si>
  <si>
    <t>Store B</t>
  </si>
  <si>
    <t>02/11/2025</t>
  </si>
  <si>
    <t>Taylor Jacobson</t>
  </si>
  <si>
    <t>12/05/2025</t>
  </si>
  <si>
    <t>Kathryn Wagner</t>
  </si>
  <si>
    <t>Headphones</t>
  </si>
  <si>
    <t>04/04/2025</t>
  </si>
  <si>
    <t>James Pacheco</t>
  </si>
  <si>
    <t>Store E</t>
  </si>
  <si>
    <t>01/10/2025</t>
  </si>
  <si>
    <t>Gregory Pearson</t>
  </si>
  <si>
    <t>Monitor</t>
  </si>
  <si>
    <t>03/28/2025</t>
  </si>
  <si>
    <t>Victoria Tran</t>
  </si>
  <si>
    <t>Online</t>
  </si>
  <si>
    <t>05/12/2025</t>
  </si>
  <si>
    <t>Tammie Miller</t>
  </si>
  <si>
    <t>07/28/2025</t>
  </si>
  <si>
    <t>Susan Sanchez</t>
  </si>
  <si>
    <t>Speaker</t>
  </si>
  <si>
    <t>08/05/2025</t>
  </si>
  <si>
    <t>Kyle Randall</t>
  </si>
  <si>
    <t>09/07/2025</t>
  </si>
  <si>
    <t>Theresa Smith</t>
  </si>
  <si>
    <t>06/25/2025</t>
  </si>
  <si>
    <t>Jeffery Ortiz</t>
  </si>
  <si>
    <t>04/13/2025</t>
  </si>
  <si>
    <t>Jennifer Johnson</t>
  </si>
  <si>
    <t>Matthew Chen</t>
  </si>
  <si>
    <t>12/23/2025</t>
  </si>
  <si>
    <t>Jeanne Richardson</t>
  </si>
  <si>
    <t>03/16/2025</t>
  </si>
  <si>
    <t>12/16/2025</t>
  </si>
  <si>
    <t>Christian Williams</t>
  </si>
  <si>
    <t>08/08/2025</t>
  </si>
  <si>
    <t>Brandon Howell</t>
  </si>
  <si>
    <t>04/21/2025</t>
  </si>
  <si>
    <t>Christopher Simmons</t>
  </si>
  <si>
    <t>07/03/2025</t>
  </si>
  <si>
    <t>Susan Patton</t>
  </si>
  <si>
    <t>11/01/2025</t>
  </si>
  <si>
    <t>Kimberly Johnson</t>
  </si>
  <si>
    <t>06/19/2025</t>
  </si>
  <si>
    <t>Timothy Jones</t>
  </si>
  <si>
    <t>02/13/2025</t>
  </si>
  <si>
    <t>Robert Cooper</t>
  </si>
  <si>
    <t>Keyboard</t>
  </si>
  <si>
    <t>10/03/2025</t>
  </si>
  <si>
    <t>Tristan Gardner DDS</t>
  </si>
  <si>
    <t>Printer</t>
  </si>
  <si>
    <t>03/29/2025</t>
  </si>
  <si>
    <t>Casey Montgomery</t>
  </si>
  <si>
    <t>10/02/2025</t>
  </si>
  <si>
    <t>Heather Johnson</t>
  </si>
  <si>
    <t>12/22/2025</t>
  </si>
  <si>
    <t>Alicia Boyd</t>
  </si>
  <si>
    <t>08/02/2025</t>
  </si>
  <si>
    <t>Karen Dunn</t>
  </si>
  <si>
    <t>05/14/2025</t>
  </si>
  <si>
    <t>Christopher Klein</t>
  </si>
  <si>
    <t>Camera</t>
  </si>
  <si>
    <t>Brian Cook</t>
  </si>
  <si>
    <t>12/10/2025</t>
  </si>
  <si>
    <t>Vincent Dickson</t>
  </si>
  <si>
    <t>02/19/2025</t>
  </si>
  <si>
    <t>Christina Park</t>
  </si>
  <si>
    <t>05/04/2025</t>
  </si>
  <si>
    <t>John Stewart</t>
  </si>
  <si>
    <t>03/07/2025</t>
  </si>
  <si>
    <t>Dr. Donna Moody DVM</t>
  </si>
  <si>
    <t>09/30/2025</t>
  </si>
  <si>
    <t>Danny Gill</t>
  </si>
  <si>
    <t>11/30/2025</t>
  </si>
  <si>
    <t>Tiffany Lee</t>
  </si>
  <si>
    <t>07/23/2025</t>
  </si>
  <si>
    <t>Brittany Winters</t>
  </si>
  <si>
    <t>09/21/2025</t>
  </si>
  <si>
    <t>Amanda Wilson</t>
  </si>
  <si>
    <t>Joe Daniels</t>
  </si>
  <si>
    <t>06/18/2025</t>
  </si>
  <si>
    <t>Tyler Morrison</t>
  </si>
  <si>
    <t>06/01/2025</t>
  </si>
  <si>
    <t>John Yu</t>
  </si>
  <si>
    <t>02/12/2025</t>
  </si>
  <si>
    <t>Elizabeth Long</t>
  </si>
  <si>
    <t>11/29/2025</t>
  </si>
  <si>
    <t>Vincent Zamora</t>
  </si>
  <si>
    <t>05/06/2025</t>
  </si>
  <si>
    <t>Samantha Lynch</t>
  </si>
  <si>
    <t>02/03/2025</t>
  </si>
  <si>
    <t>Abigail Kent</t>
  </si>
  <si>
    <t>04/17/2025</t>
  </si>
  <si>
    <t>Matthew Turner</t>
  </si>
  <si>
    <t>12/07/2025</t>
  </si>
  <si>
    <t>Cheryl Taylor MD</t>
  </si>
  <si>
    <t>05/15/2025</t>
  </si>
  <si>
    <t>Carol Smith</t>
  </si>
  <si>
    <t>12/30/2025</t>
  </si>
  <si>
    <t>Kimberly Oneal</t>
  </si>
  <si>
    <t>01/30/2025</t>
  </si>
  <si>
    <t>Tara Durham</t>
  </si>
  <si>
    <t>Sarah Barton</t>
  </si>
  <si>
    <t>02/16/2025</t>
  </si>
  <si>
    <t>Jose Taylor</t>
  </si>
  <si>
    <t>02/28/2025</t>
  </si>
  <si>
    <t>Roger Baker</t>
  </si>
  <si>
    <t>05/27/2025</t>
  </si>
  <si>
    <t>Laurie Reed</t>
  </si>
  <si>
    <t>10/10/2025</t>
  </si>
  <si>
    <t>Tiffany Hood</t>
  </si>
  <si>
    <t>06/05/2025</t>
  </si>
  <si>
    <t>Jamie Orozco</t>
  </si>
  <si>
    <t>12/01/2025</t>
  </si>
  <si>
    <t>Destiny Byrd</t>
  </si>
  <si>
    <t>Christian Macias</t>
  </si>
  <si>
    <t>08/17/2025</t>
  </si>
  <si>
    <t>James Brown</t>
  </si>
  <si>
    <t>09/01/2025</t>
  </si>
  <si>
    <t>Patrick Tucker</t>
  </si>
  <si>
    <t>03/04/2025</t>
  </si>
  <si>
    <t>Jessica Johnson MD</t>
  </si>
  <si>
    <t>07/07/2025</t>
  </si>
  <si>
    <t>Denise Matthews</t>
  </si>
  <si>
    <t>06/15/2025</t>
  </si>
  <si>
    <t>Antonio Palmer</t>
  </si>
  <si>
    <t>03/10/2025</t>
  </si>
  <si>
    <t>Timothy Holmes</t>
  </si>
  <si>
    <t>07/10/2025</t>
  </si>
  <si>
    <t>John Peterson</t>
  </si>
  <si>
    <t>12/08/2025</t>
  </si>
  <si>
    <t>Pamela Douglas</t>
  </si>
  <si>
    <t>09/15/2025</t>
  </si>
  <si>
    <t>Nancy Williams</t>
  </si>
  <si>
    <t>Jennifer Nelson</t>
  </si>
  <si>
    <t>08/18/2025</t>
  </si>
  <si>
    <t>James Anderson</t>
  </si>
  <si>
    <t>Carolyn Jacobs</t>
  </si>
  <si>
    <t>11/10/2025</t>
  </si>
  <si>
    <t>Kayla Alvarado</t>
  </si>
  <si>
    <t>11/25/2025</t>
  </si>
  <si>
    <t>Stephen Fox</t>
  </si>
  <si>
    <t>Joshua Carpenter</t>
  </si>
  <si>
    <t>Jessica Sawyer</t>
  </si>
  <si>
    <t>06/27/2025</t>
  </si>
  <si>
    <t>George Wilson</t>
  </si>
  <si>
    <t>11/07/2025</t>
  </si>
  <si>
    <t>Karen Page</t>
  </si>
  <si>
    <t>01/22/2025</t>
  </si>
  <si>
    <t>Kathleen Galloway</t>
  </si>
  <si>
    <t>07/29/2025</t>
  </si>
  <si>
    <t>John Hobbs</t>
  </si>
  <si>
    <t>Melissa Davis</t>
  </si>
  <si>
    <t>12/03/2025</t>
  </si>
  <si>
    <t>Gail Marshall</t>
  </si>
  <si>
    <t>01/26/2025</t>
  </si>
  <si>
    <t>Angela Davis</t>
  </si>
  <si>
    <t>09/17/2025</t>
  </si>
  <si>
    <t>Nathaniel Wilson</t>
  </si>
  <si>
    <t>03/18/2025</t>
  </si>
  <si>
    <t>James Black</t>
  </si>
  <si>
    <t>02/04/2025</t>
  </si>
  <si>
    <t>Bailey Huynh</t>
  </si>
  <si>
    <t>11/17/2025</t>
  </si>
  <si>
    <t>Jay Snyder</t>
  </si>
  <si>
    <t>David Everett</t>
  </si>
  <si>
    <t>12/19/2025</t>
  </si>
  <si>
    <t>George Hill</t>
  </si>
  <si>
    <t>Nicole Garcia</t>
  </si>
  <si>
    <t>07/16/2025</t>
  </si>
  <si>
    <t>Kenneth Black</t>
  </si>
  <si>
    <t>05/05/2025</t>
  </si>
  <si>
    <t>Lisa Nichols</t>
  </si>
  <si>
    <t>05/17/2025</t>
  </si>
  <si>
    <t>Stephen Levy</t>
  </si>
  <si>
    <t>10/07/2025</t>
  </si>
  <si>
    <t>Shelby Boyer</t>
  </si>
  <si>
    <t>Shawn Rivera</t>
  </si>
  <si>
    <t>07/27/2025</t>
  </si>
  <si>
    <t>Mr. Darren Lang</t>
  </si>
  <si>
    <t>09/19/2025</t>
  </si>
  <si>
    <t>Larry West</t>
  </si>
  <si>
    <t>03/27/2025</t>
  </si>
  <si>
    <t>Christopher Roberts</t>
  </si>
  <si>
    <t>07/25/2025</t>
  </si>
  <si>
    <t>Tracy Bruce MD</t>
  </si>
  <si>
    <t>Kelly Gibbs</t>
  </si>
  <si>
    <t>04/26/2025</t>
  </si>
  <si>
    <t>Jennifer Buchanan</t>
  </si>
  <si>
    <t>James Pierce</t>
  </si>
  <si>
    <t>04/02/2025</t>
  </si>
  <si>
    <t>Jessica Johnson</t>
  </si>
  <si>
    <t>03/08/2025</t>
  </si>
  <si>
    <t>Nathaniel Chen</t>
  </si>
  <si>
    <t>Lisa Mcdonald</t>
  </si>
  <si>
    <t>03/25/2025</t>
  </si>
  <si>
    <t>Jennifer Smith</t>
  </si>
  <si>
    <t>05/03/2025</t>
  </si>
  <si>
    <t>Kaitlyn Fuller</t>
  </si>
  <si>
    <t>01/01/2025</t>
  </si>
  <si>
    <t>Rebecca Ruiz</t>
  </si>
  <si>
    <t>01/15/2025</t>
  </si>
  <si>
    <t>Susan Hamilton</t>
  </si>
  <si>
    <t>12/18/2025</t>
  </si>
  <si>
    <t>Jessica Delgado</t>
  </si>
  <si>
    <t>05/10/2025</t>
  </si>
  <si>
    <t>Arthur Perez</t>
  </si>
  <si>
    <t>Ashley Wilson</t>
  </si>
  <si>
    <t>06/12/2025</t>
  </si>
  <si>
    <t>Timothy Daugherty</t>
  </si>
  <si>
    <t>04/25/2025</t>
  </si>
  <si>
    <t>Becky Higgins</t>
  </si>
  <si>
    <t>03/11/2025</t>
  </si>
  <si>
    <t>Michelle Gutierrez</t>
  </si>
  <si>
    <t>07/05/2025</t>
  </si>
  <si>
    <t>Donna Short</t>
  </si>
  <si>
    <t>Victoria Jordan</t>
  </si>
  <si>
    <t>06/13/2025</t>
  </si>
  <si>
    <t>Lauren Davis</t>
  </si>
  <si>
    <t>Leslie Thomas</t>
  </si>
  <si>
    <t>03/30/2025</t>
  </si>
  <si>
    <t>Julie Reed</t>
  </si>
  <si>
    <t>Alec Gonzalez</t>
  </si>
  <si>
    <t>10/20/2025</t>
  </si>
  <si>
    <t>Zachary Carter</t>
  </si>
  <si>
    <t>10/09/2025</t>
  </si>
  <si>
    <t>Mr. Matthew Kent</t>
  </si>
  <si>
    <t>03/26/2025</t>
  </si>
  <si>
    <t>Kelli Garcia</t>
  </si>
  <si>
    <t>01/27/2025</t>
  </si>
  <si>
    <t>Dylan Lewis</t>
  </si>
  <si>
    <t>04/22/2025</t>
  </si>
  <si>
    <t>Marcus Rose</t>
  </si>
  <si>
    <t>05/18/2025</t>
  </si>
  <si>
    <t>Paige Shelton</t>
  </si>
  <si>
    <t>08/22/2025</t>
  </si>
  <si>
    <t>Rebecca Freeman</t>
  </si>
  <si>
    <t>Kayla Bowen</t>
  </si>
  <si>
    <t>John Olson</t>
  </si>
  <si>
    <t>03/14/2025</t>
  </si>
  <si>
    <t>Bryce Roberts</t>
  </si>
  <si>
    <t>07/17/2025</t>
  </si>
  <si>
    <t>Alexander Brooks</t>
  </si>
  <si>
    <t>Kevin Nelson</t>
  </si>
  <si>
    <t>08/04/2025</t>
  </si>
  <si>
    <t>Krystal Davies</t>
  </si>
  <si>
    <t>Timothy King</t>
  </si>
  <si>
    <t>Tina Singh</t>
  </si>
  <si>
    <t>08/07/2025</t>
  </si>
  <si>
    <t>Christopher Simpson</t>
  </si>
  <si>
    <t>Carlos Robinson</t>
  </si>
  <si>
    <t>04/10/2025</t>
  </si>
  <si>
    <t>Jennifer Lopez</t>
  </si>
  <si>
    <t>02/18/2025</t>
  </si>
  <si>
    <t>William Morales</t>
  </si>
  <si>
    <t>Robin Thornton</t>
  </si>
  <si>
    <t>06/23/2025</t>
  </si>
  <si>
    <t>Courtney Moody</t>
  </si>
  <si>
    <t>Nicole Flores</t>
  </si>
  <si>
    <t>02/26/2025</t>
  </si>
  <si>
    <t>Justin Patterson</t>
  </si>
  <si>
    <t>07/06/2025</t>
  </si>
  <si>
    <t>Sherri Mills</t>
  </si>
  <si>
    <t>01/13/2025</t>
  </si>
  <si>
    <t>James Rowe</t>
  </si>
  <si>
    <t>12/24/2025</t>
  </si>
  <si>
    <t>Erica Reed</t>
  </si>
  <si>
    <t>Curtis Hart</t>
  </si>
  <si>
    <t>08/24/2025</t>
  </si>
  <si>
    <t>Randall Green</t>
  </si>
  <si>
    <t>Mary Alvarado</t>
  </si>
  <si>
    <t>01/28/2025</t>
  </si>
  <si>
    <t>Aaron Mcbride</t>
  </si>
  <si>
    <t>Laura Richardson</t>
  </si>
  <si>
    <t>Crystal Wilson</t>
  </si>
  <si>
    <t>03/02/2025</t>
  </si>
  <si>
    <t>Paul Stevens</t>
  </si>
  <si>
    <t>Mary Collier</t>
  </si>
  <si>
    <t>11/02/2025</t>
  </si>
  <si>
    <t>Amanda Spencer DVM</t>
  </si>
  <si>
    <t>Robert Jones</t>
  </si>
  <si>
    <t>07/26/2025</t>
  </si>
  <si>
    <t>Christine Higgins</t>
  </si>
  <si>
    <t>David Ewing</t>
  </si>
  <si>
    <t>12/06/2025</t>
  </si>
  <si>
    <t>Cheryl Stein</t>
  </si>
  <si>
    <t>05/23/2025</t>
  </si>
  <si>
    <t>Jay Jones MD</t>
  </si>
  <si>
    <t>11/21/2025</t>
  </si>
  <si>
    <t>Kevin Anderson</t>
  </si>
  <si>
    <t>06/03/2025</t>
  </si>
  <si>
    <t>Shelby Carter</t>
  </si>
  <si>
    <t>03/15/2025</t>
  </si>
  <si>
    <t>William Ochoa</t>
  </si>
  <si>
    <t>04/09/2025</t>
  </si>
  <si>
    <t>Michele Cooper</t>
  </si>
  <si>
    <t>12/15/2025</t>
  </si>
  <si>
    <t>Ryan Cruz</t>
  </si>
  <si>
    <t>Timothy Armstrong</t>
  </si>
  <si>
    <t>02/27/2025</t>
  </si>
  <si>
    <t>Marvin Knapp</t>
  </si>
  <si>
    <t>Crystal Proctor</t>
  </si>
  <si>
    <t>Stacy Fox</t>
  </si>
  <si>
    <t>Stephanie Hill</t>
  </si>
  <si>
    <t>06/20/2025</t>
  </si>
  <si>
    <t>Sara Brown</t>
  </si>
  <si>
    <t>01/18/2025</t>
  </si>
  <si>
    <t>Michael Davis</t>
  </si>
  <si>
    <t>06/24/2025</t>
  </si>
  <si>
    <t>Ronnie Mcfarland</t>
  </si>
  <si>
    <t>05/02/2025</t>
  </si>
  <si>
    <t>Robert Johnson</t>
  </si>
  <si>
    <t>10/14/2025</t>
  </si>
  <si>
    <t>Kristen Fowler</t>
  </si>
  <si>
    <t>Tonya Kline</t>
  </si>
  <si>
    <t>02/24/2025</t>
  </si>
  <si>
    <t>Jennifer Oliver</t>
  </si>
  <si>
    <t>09/16/2025</t>
  </si>
  <si>
    <t>Jesse Evans</t>
  </si>
  <si>
    <t>Mr. William Baker</t>
  </si>
  <si>
    <t>11/23/2025</t>
  </si>
  <si>
    <t>Sharon Green</t>
  </si>
  <si>
    <t>Jason Allen</t>
  </si>
  <si>
    <t>03/09/2025</t>
  </si>
  <si>
    <t>Stacy Michael DDS</t>
  </si>
  <si>
    <t>03/21/2025</t>
  </si>
  <si>
    <t>Jose Reyes</t>
  </si>
  <si>
    <t>09/22/2025</t>
  </si>
  <si>
    <t>Ryan Anderson</t>
  </si>
  <si>
    <t>11/13/2025</t>
  </si>
  <si>
    <t>Alexander Vazquez</t>
  </si>
  <si>
    <t>04/15/2025</t>
  </si>
  <si>
    <t>Richard Fisher</t>
  </si>
  <si>
    <t>06/28/2025</t>
  </si>
  <si>
    <t>Sarah Martinez</t>
  </si>
  <si>
    <t>Chad Smith</t>
  </si>
  <si>
    <t>05/11/2025</t>
  </si>
  <si>
    <t>Daniel Smith</t>
  </si>
  <si>
    <t>Kaitlyn Graham</t>
  </si>
  <si>
    <t>08/15/2025</t>
  </si>
  <si>
    <t>Steve Lang</t>
  </si>
  <si>
    <t>Michael Hale</t>
  </si>
  <si>
    <t>04/07/2025</t>
  </si>
  <si>
    <t>Lindsey Rose</t>
  </si>
  <si>
    <t>Kelly Spears</t>
  </si>
  <si>
    <t>Mrs. Erin Buckley</t>
  </si>
  <si>
    <t>01/25/2025</t>
  </si>
  <si>
    <t>Rachel Mccoy</t>
  </si>
  <si>
    <t>Matthew Carpenter</t>
  </si>
  <si>
    <t>Heather Allen</t>
  </si>
  <si>
    <t>08/20/2025</t>
  </si>
  <si>
    <t>Charles Holmes</t>
  </si>
  <si>
    <t>Brett Wong</t>
  </si>
  <si>
    <t>02/20/2025</t>
  </si>
  <si>
    <t>Sydney Lamb</t>
  </si>
  <si>
    <t>Rodney Anderson</t>
  </si>
  <si>
    <t>02/22/2025</t>
  </si>
  <si>
    <t>Barbara Taylor</t>
  </si>
  <si>
    <t>Bobby Williams</t>
  </si>
  <si>
    <t>Rachel Johnson</t>
  </si>
  <si>
    <t>James Sanders</t>
  </si>
  <si>
    <t>Jacob Harmon</t>
  </si>
  <si>
    <t>Sean Pittman</t>
  </si>
  <si>
    <t>Joanna Nolan</t>
  </si>
  <si>
    <t>10/05/2025</t>
  </si>
  <si>
    <t>Gregory Wolf</t>
  </si>
  <si>
    <t>Sheila Graham</t>
  </si>
  <si>
    <t>Hannah Lewis</t>
  </si>
  <si>
    <t>Eric Garcia</t>
  </si>
  <si>
    <t>James Hart</t>
  </si>
  <si>
    <t>David Hancock</t>
  </si>
  <si>
    <t>William Odom</t>
  </si>
  <si>
    <t>10/13/2025</t>
  </si>
  <si>
    <t>Pamela Ellis</t>
  </si>
  <si>
    <t>Kelly Lee</t>
  </si>
  <si>
    <t>Heidi Rodriguez</t>
  </si>
  <si>
    <t>Antonio Jones DDS</t>
  </si>
  <si>
    <t>Lindsey Davis</t>
  </si>
  <si>
    <t>Tracy Williams</t>
  </si>
  <si>
    <t>09/25/2025</t>
  </si>
  <si>
    <t>Paula Weber</t>
  </si>
  <si>
    <t>Mr. Anthony Leonard</t>
  </si>
  <si>
    <t>09/24/2025</t>
  </si>
  <si>
    <t>Gregory Gutierrez</t>
  </si>
  <si>
    <t>12/21/2025</t>
  </si>
  <si>
    <t>Molly Alvarez</t>
  </si>
  <si>
    <t>08/28/2025</t>
  </si>
  <si>
    <t>Catherine Robles</t>
  </si>
  <si>
    <t>Jason Russell</t>
  </si>
  <si>
    <t>02/09/2025</t>
  </si>
  <si>
    <t>Catherine Gay</t>
  </si>
  <si>
    <t>Thomas Murray</t>
  </si>
  <si>
    <t>Brian Robbins</t>
  </si>
  <si>
    <t>John Wheeler</t>
  </si>
  <si>
    <t>Carlos Mejia</t>
  </si>
  <si>
    <t>Sarah Neal</t>
  </si>
  <si>
    <t>07/12/2025</t>
  </si>
  <si>
    <t>Amanda Hernandez</t>
  </si>
  <si>
    <t>08/03/2025</t>
  </si>
  <si>
    <t>David Lewis</t>
  </si>
  <si>
    <t>10/30/2025</t>
  </si>
  <si>
    <t>Timothy Simpson</t>
  </si>
  <si>
    <t>06/14/2025</t>
  </si>
  <si>
    <t>Regina Wiggins</t>
  </si>
  <si>
    <t>Andrew Weiss</t>
  </si>
  <si>
    <t>Scott Hamilton</t>
  </si>
  <si>
    <t>Ethan Lynch</t>
  </si>
  <si>
    <t>Ethan Gentry</t>
  </si>
  <si>
    <t>04/08/2025</t>
  </si>
  <si>
    <t>Carl Dawson</t>
  </si>
  <si>
    <t>06/11/2025</t>
  </si>
  <si>
    <t>Andrew Watson</t>
  </si>
  <si>
    <t>Dominic Burns</t>
  </si>
  <si>
    <t>Emily Butler</t>
  </si>
  <si>
    <t>Edward Williamson</t>
  </si>
  <si>
    <t>Deborah Hardy</t>
  </si>
  <si>
    <t>07/13/2025</t>
  </si>
  <si>
    <t>Kevin Avery</t>
  </si>
  <si>
    <t>04/29/2025</t>
  </si>
  <si>
    <t>Michael Brock</t>
  </si>
  <si>
    <t>Samuel Chambers</t>
  </si>
  <si>
    <t>01/31/2025</t>
  </si>
  <si>
    <t>Brian Norton</t>
  </si>
  <si>
    <t>10/23/2025</t>
  </si>
  <si>
    <t>Chad Mckenzie</t>
  </si>
  <si>
    <t>Jesse Branch</t>
  </si>
  <si>
    <t>11/18/2025</t>
  </si>
  <si>
    <t>Diane Vasquez</t>
  </si>
  <si>
    <t>02/01/2025</t>
  </si>
  <si>
    <t>Adrian Ramirez</t>
  </si>
  <si>
    <t>12/28/2025</t>
  </si>
  <si>
    <t>Tyler Armstrong</t>
  </si>
  <si>
    <t>Jonathan Edwards</t>
  </si>
  <si>
    <t>04/24/2025</t>
  </si>
  <si>
    <t>Sara Tate</t>
  </si>
  <si>
    <t>05/24/2025</t>
  </si>
  <si>
    <t>Brian Hernandez</t>
  </si>
  <si>
    <t>Richard Bruce</t>
  </si>
  <si>
    <t>Megan Thomas</t>
  </si>
  <si>
    <t>Brandi Sharp</t>
  </si>
  <si>
    <t>Ian Webb</t>
  </si>
  <si>
    <t>John Hughes</t>
  </si>
  <si>
    <t>03/22/2025</t>
  </si>
  <si>
    <t>Bryan Booth</t>
  </si>
  <si>
    <t>Jose Warren</t>
  </si>
  <si>
    <t>03/12/2025</t>
  </si>
  <si>
    <t>Danielle Whitaker</t>
  </si>
  <si>
    <t>Elizabeth Dominguez</t>
  </si>
  <si>
    <t>Kelly Black</t>
  </si>
  <si>
    <t>12/29/2025</t>
  </si>
  <si>
    <t>Carl Griffith</t>
  </si>
  <si>
    <t>Mckenzie Hudson</t>
  </si>
  <si>
    <t>David Hunter</t>
  </si>
  <si>
    <t>Christopher Dominguez</t>
  </si>
  <si>
    <t>04/11/2025</t>
  </si>
  <si>
    <t>Mark Schultz</t>
  </si>
  <si>
    <t>Jessica Vaughan</t>
  </si>
  <si>
    <t>Jeffrey Mitchell</t>
  </si>
  <si>
    <t>Isabella Perez</t>
  </si>
  <si>
    <t>08/10/2025</t>
  </si>
  <si>
    <t>Brandon Nelson</t>
  </si>
  <si>
    <t>Jeremy Jones</t>
  </si>
  <si>
    <t>08/30/2025</t>
  </si>
  <si>
    <t>Dr. John Ayala</t>
  </si>
  <si>
    <t>Sabrina Hansen</t>
  </si>
  <si>
    <t>01/05/2025</t>
  </si>
  <si>
    <t>Jason Maxwell</t>
  </si>
  <si>
    <t>Patrick Hunt</t>
  </si>
  <si>
    <t>Jason Chapman</t>
  </si>
  <si>
    <t>Mary Stewart</t>
  </si>
  <si>
    <t>Alexander White</t>
  </si>
  <si>
    <t>Robert Pope</t>
  </si>
  <si>
    <t>John Bryant</t>
  </si>
  <si>
    <t>Dr. Samantha Davis</t>
  </si>
  <si>
    <t>Amy Young DDS</t>
  </si>
  <si>
    <t>07/08/2025</t>
  </si>
  <si>
    <t>Lauren Harper</t>
  </si>
  <si>
    <t>09/27/2025</t>
  </si>
  <si>
    <t>Katie Smith</t>
  </si>
  <si>
    <t>Katherine Smith</t>
  </si>
  <si>
    <t>Jennifer Young</t>
  </si>
  <si>
    <t>06/26/2025</t>
  </si>
  <si>
    <t>Mary Ferguson</t>
  </si>
  <si>
    <t>Jessica Jones</t>
  </si>
  <si>
    <t>Joshua Brewer</t>
  </si>
  <si>
    <t>09/12/2025</t>
  </si>
  <si>
    <t>Patrick Gibbs</t>
  </si>
  <si>
    <t>12/12/2025</t>
  </si>
  <si>
    <t>Jeffrey Nelson</t>
  </si>
  <si>
    <t>01/03/2025</t>
  </si>
  <si>
    <t>Connor Douglas</t>
  </si>
  <si>
    <t>02/02/2025</t>
  </si>
  <si>
    <t>George Wright</t>
  </si>
  <si>
    <t>10/04/2025</t>
  </si>
  <si>
    <t>Linda Smith</t>
  </si>
  <si>
    <t>Amber Anderson</t>
  </si>
  <si>
    <t>Nicholas Wolfe</t>
  </si>
  <si>
    <t>Christina Pruitt</t>
  </si>
  <si>
    <t>Marissa Walker</t>
  </si>
  <si>
    <t>Amy Saunders</t>
  </si>
  <si>
    <t>Elizabeth Thomas</t>
  </si>
  <si>
    <t>Steven Wright</t>
  </si>
  <si>
    <t>Denise Miller</t>
  </si>
  <si>
    <t>George Mendoza</t>
  </si>
  <si>
    <t>Michael Morris</t>
  </si>
  <si>
    <t>10/31/2025</t>
  </si>
  <si>
    <t>Troy Foster</t>
  </si>
  <si>
    <t>Meghan Charles</t>
  </si>
  <si>
    <t>Kim Roberts</t>
  </si>
  <si>
    <t>Andrea Anderson</t>
  </si>
  <si>
    <t>11/27/2025</t>
  </si>
  <si>
    <t>Christopher Wise</t>
  </si>
  <si>
    <t>Sherri Hamilton</t>
  </si>
  <si>
    <t>Jon Foster</t>
  </si>
  <si>
    <t>Natasha Aguilar</t>
  </si>
  <si>
    <t>02/21/2025</t>
  </si>
  <si>
    <t>Michael Wade</t>
  </si>
  <si>
    <t>09/02/2025</t>
  </si>
  <si>
    <t>Felicia Weaver</t>
  </si>
  <si>
    <t>Justin Miller</t>
  </si>
  <si>
    <t>09/29/2025</t>
  </si>
  <si>
    <t>Melissa Andrews</t>
  </si>
  <si>
    <t>Cynthia Jimenez</t>
  </si>
  <si>
    <t>Paul Oliver</t>
  </si>
  <si>
    <t>Robert Moore</t>
  </si>
  <si>
    <t>Christopher Best</t>
  </si>
  <si>
    <t>Scott Woodard</t>
  </si>
  <si>
    <t>09/04/2025</t>
  </si>
  <si>
    <t>Virginia Moore</t>
  </si>
  <si>
    <t>06/29/2025</t>
  </si>
  <si>
    <t>Lee Smith</t>
  </si>
  <si>
    <t>Matthew Anderson</t>
  </si>
  <si>
    <t>Joshua Perez</t>
  </si>
  <si>
    <t>Michael Barnes</t>
  </si>
  <si>
    <t>05/22/2025</t>
  </si>
  <si>
    <t>Michael Johnson</t>
  </si>
  <si>
    <t>09/26/2025</t>
  </si>
  <si>
    <t>Brittney Nash</t>
  </si>
  <si>
    <t>Mr. Jacob Boone MD</t>
  </si>
  <si>
    <t>Denise Valencia</t>
  </si>
  <si>
    <t>Victoria Glass</t>
  </si>
  <si>
    <t>11/09/2025</t>
  </si>
  <si>
    <t>Matthew Bailey</t>
  </si>
  <si>
    <t>04/23/2025</t>
  </si>
  <si>
    <t>Bradley Stone</t>
  </si>
  <si>
    <t>01/17/2025</t>
  </si>
  <si>
    <t>Paul Vargas</t>
  </si>
  <si>
    <t>06/09/2025</t>
  </si>
  <si>
    <t>Kimberly Edwards</t>
  </si>
  <si>
    <t>Lisa Morgan</t>
  </si>
  <si>
    <t>10/06/2025</t>
  </si>
  <si>
    <t>Andrew Martinez</t>
  </si>
  <si>
    <t>09/05/2025</t>
  </si>
  <si>
    <t>Robert Brown</t>
  </si>
  <si>
    <t>Jennifer Frazier</t>
  </si>
  <si>
    <t>Spencer Combs</t>
  </si>
  <si>
    <t>06/10/2025</t>
  </si>
  <si>
    <t>Linda Hughes</t>
  </si>
  <si>
    <t>12/13/2025</t>
  </si>
  <si>
    <t>Bruce Banks</t>
  </si>
  <si>
    <t>08/21/2025</t>
  </si>
  <si>
    <t>Joshua Kim</t>
  </si>
  <si>
    <t>James Rodriguez</t>
  </si>
  <si>
    <t>Richard Cunningham</t>
  </si>
  <si>
    <t>Christopher Ibarra</t>
  </si>
  <si>
    <t>Connie Williams</t>
  </si>
  <si>
    <t>04/05/2025</t>
  </si>
  <si>
    <t>Jessica Day</t>
  </si>
  <si>
    <t>Derek Wong</t>
  </si>
  <si>
    <t>09/23/2025</t>
  </si>
  <si>
    <t>Lisa Valenzuela</t>
  </si>
  <si>
    <t>Ryan Meyers</t>
  </si>
  <si>
    <t>Ryan Willis</t>
  </si>
  <si>
    <t>Tara Paul</t>
  </si>
  <si>
    <t>05/28/2025</t>
  </si>
  <si>
    <t>Jonathan Kelly</t>
  </si>
  <si>
    <t>Jason Martinez MD</t>
  </si>
  <si>
    <t>Jacob Rice</t>
  </si>
  <si>
    <t>Dana Olson</t>
  </si>
  <si>
    <t>Michael Shelton</t>
  </si>
  <si>
    <t>Amanda Palmer</t>
  </si>
  <si>
    <t>Brendan Thompson</t>
  </si>
  <si>
    <t>Rachel Rhodes</t>
  </si>
  <si>
    <t>03/17/2025</t>
  </si>
  <si>
    <t>Dr. Christopher Miller MD</t>
  </si>
  <si>
    <t>05/29/2025</t>
  </si>
  <si>
    <t>Catherine Vega</t>
  </si>
  <si>
    <t>01/24/2025</t>
  </si>
  <si>
    <t>Chelsea Morris</t>
  </si>
  <si>
    <t>Alexis Moore</t>
  </si>
  <si>
    <t>08/12/2025</t>
  </si>
  <si>
    <t>Jennifer Lewis</t>
  </si>
  <si>
    <t>Roy Walker</t>
  </si>
  <si>
    <t>Amber Hill</t>
  </si>
  <si>
    <t>Christian Rodriguez DVM</t>
  </si>
  <si>
    <t>Maria Skinner</t>
  </si>
  <si>
    <t>11/26/2025</t>
  </si>
  <si>
    <t>Amy Vega</t>
  </si>
  <si>
    <t>Patricia Williams</t>
  </si>
  <si>
    <t>Brian Brooks</t>
  </si>
  <si>
    <t>Beverly Cuevas</t>
  </si>
  <si>
    <t>12/20/2025</t>
  </si>
  <si>
    <t>John Rogers</t>
  </si>
  <si>
    <t>Teresa Dean</t>
  </si>
  <si>
    <t>Christopher Davenport</t>
  </si>
  <si>
    <t>02/17/2025</t>
  </si>
  <si>
    <t>Jeremy Nichols</t>
  </si>
  <si>
    <t>Kimberly Paul</t>
  </si>
  <si>
    <t>Ian Tran</t>
  </si>
  <si>
    <t>11/16/2025</t>
  </si>
  <si>
    <t>Christopher Baker</t>
  </si>
  <si>
    <t>07/15/2025</t>
  </si>
  <si>
    <t>Donna Schneider</t>
  </si>
  <si>
    <t>04/06/2025</t>
  </si>
  <si>
    <t>Erik Mcgee</t>
  </si>
  <si>
    <t>11/24/2025</t>
  </si>
  <si>
    <t>Laura Singh</t>
  </si>
  <si>
    <t>07/09/2025</t>
  </si>
  <si>
    <t>Sharon Martinez</t>
  </si>
  <si>
    <t>Tiffany Norman</t>
  </si>
  <si>
    <t>Mrs. Sherri Fry</t>
  </si>
  <si>
    <t>Brandon Figueroa</t>
  </si>
  <si>
    <t>Ruben Henderson</t>
  </si>
  <si>
    <t>Briana Morris</t>
  </si>
  <si>
    <t>Kathryn Potter</t>
  </si>
  <si>
    <t>Judy Griffin</t>
  </si>
  <si>
    <t>02/07/2025</t>
  </si>
  <si>
    <t>James Guzman</t>
  </si>
  <si>
    <t>Thomas West</t>
  </si>
  <si>
    <t>07/22/2025</t>
  </si>
  <si>
    <t>Jennifer Pacheco</t>
  </si>
  <si>
    <t>Noah Patel</t>
  </si>
  <si>
    <t>06/06/2025</t>
  </si>
  <si>
    <t>Selena Hall</t>
  </si>
  <si>
    <t>03/24/2025</t>
  </si>
  <si>
    <t>Travis Jennings</t>
  </si>
  <si>
    <t>Mary Thomas</t>
  </si>
  <si>
    <t>Albert Beard</t>
  </si>
  <si>
    <t>Arthur Parker</t>
  </si>
  <si>
    <t>11/22/2025</t>
  </si>
  <si>
    <t>Elizabeth Williams</t>
  </si>
  <si>
    <t>11/04/2025</t>
  </si>
  <si>
    <t>Anthony Clark</t>
  </si>
  <si>
    <t>Thomas Cole</t>
  </si>
  <si>
    <t>11/20/2025</t>
  </si>
  <si>
    <t>Andrew Peterson</t>
  </si>
  <si>
    <t>Jacob Flores</t>
  </si>
  <si>
    <t>11/14/2025</t>
  </si>
  <si>
    <t>Angela Stevens</t>
  </si>
  <si>
    <t>Mary Tanner</t>
  </si>
  <si>
    <t>07/19/2025</t>
  </si>
  <si>
    <t>Adam Bates</t>
  </si>
  <si>
    <t>07/21/2025</t>
  </si>
  <si>
    <t>Philip Garcia</t>
  </si>
  <si>
    <t>Kenneth Mccullough</t>
  </si>
  <si>
    <t>Jose Frazier</t>
  </si>
  <si>
    <t>Zachary Bailey</t>
  </si>
  <si>
    <t>12/04/2025</t>
  </si>
  <si>
    <t>Michelle Boyle</t>
  </si>
  <si>
    <t>Terry Jordan</t>
  </si>
  <si>
    <t>Kristi Vaughn</t>
  </si>
  <si>
    <t>Brianna Martin</t>
  </si>
  <si>
    <t>Mrs. Lisa Hurst</t>
  </si>
  <si>
    <t>Suzanne Herrera</t>
  </si>
  <si>
    <t>02/10/2025</t>
  </si>
  <si>
    <t>Michael Deleon</t>
  </si>
  <si>
    <t>06/07/2025</t>
  </si>
  <si>
    <t>Jonathan Mccoy</t>
  </si>
  <si>
    <t>02/23/2025</t>
  </si>
  <si>
    <t>Ryan Little</t>
  </si>
  <si>
    <t>Angela Smith</t>
  </si>
  <si>
    <t>05/08/2025</t>
  </si>
  <si>
    <t>Norma Bernard</t>
  </si>
  <si>
    <t>Elizabeth Carlson</t>
  </si>
  <si>
    <t>Ethan Jackson</t>
  </si>
  <si>
    <t>Tammy Gregory</t>
  </si>
  <si>
    <t>09/13/2025</t>
  </si>
  <si>
    <t>Jay Wilson</t>
  </si>
  <si>
    <t>Garrett Gill</t>
  </si>
  <si>
    <t>Alyssa Perry</t>
  </si>
  <si>
    <t>Laura Lee</t>
  </si>
  <si>
    <t>10/26/2025</t>
  </si>
  <si>
    <t>Emily Hutchinson</t>
  </si>
  <si>
    <t>Allen Austin</t>
  </si>
  <si>
    <t>Mr. Nicholas Roberts</t>
  </si>
  <si>
    <t>Carmen Sims</t>
  </si>
  <si>
    <t>Hector Blair</t>
  </si>
  <si>
    <t>Christine Lopez</t>
  </si>
  <si>
    <t>Tanya Williams</t>
  </si>
  <si>
    <t>Michael Burke</t>
  </si>
  <si>
    <t>Jennifer Carr</t>
  </si>
  <si>
    <t>Larry Lee</t>
  </si>
  <si>
    <t>09/08/2025</t>
  </si>
  <si>
    <t>Timothy Hunter</t>
  </si>
  <si>
    <t>09/20/2025</t>
  </si>
  <si>
    <t>Austin Madden</t>
  </si>
  <si>
    <t>10/01/2025</t>
  </si>
  <si>
    <t>Kevin Wright</t>
  </si>
  <si>
    <t>Brian Lowe</t>
  </si>
  <si>
    <t>03/13/2025</t>
  </si>
  <si>
    <t>Joseph Miller</t>
  </si>
  <si>
    <t>Kaitlyn Freeman</t>
  </si>
  <si>
    <t>David Velasquez Jr.</t>
  </si>
  <si>
    <t>Charles Cole</t>
  </si>
  <si>
    <t>Bradley Moore</t>
  </si>
  <si>
    <t>Arthur Lee</t>
  </si>
  <si>
    <t>03/19/2025</t>
  </si>
  <si>
    <t>Jordan Clark</t>
  </si>
  <si>
    <t>Christopher Wagner</t>
  </si>
  <si>
    <t>Tracy Salazar</t>
  </si>
  <si>
    <t>09/14/2025</t>
  </si>
  <si>
    <t>Kiara Vaughn</t>
  </si>
  <si>
    <t>Stephen Mahoney</t>
  </si>
  <si>
    <t>03/06/2025</t>
  </si>
  <si>
    <t>Savannah Stevens</t>
  </si>
  <si>
    <t>Karen Yang</t>
  </si>
  <si>
    <t>Justin Wilkins</t>
  </si>
  <si>
    <t>Cindy Forbes</t>
  </si>
  <si>
    <t>12/14/2025</t>
  </si>
  <si>
    <t>Teresa Huffman</t>
  </si>
  <si>
    <t>Alexis Young</t>
  </si>
  <si>
    <t>Holly White</t>
  </si>
  <si>
    <t>Catherine English</t>
  </si>
  <si>
    <t>03/23/2025</t>
  </si>
  <si>
    <t>Mitchell Barnes</t>
  </si>
  <si>
    <t>Lisa Brennan</t>
  </si>
  <si>
    <t>Stacy Jensen</t>
  </si>
  <si>
    <t>05/20/2025</t>
  </si>
  <si>
    <t>Julie Eaton</t>
  </si>
  <si>
    <t>Andrew Gardner</t>
  </si>
  <si>
    <t>Amanda Ellis</t>
  </si>
  <si>
    <t>09/06/2025</t>
  </si>
  <si>
    <t>Cynthia Holt</t>
  </si>
  <si>
    <t>Ryan Phillips</t>
  </si>
  <si>
    <t>David Sandoval</t>
  </si>
  <si>
    <t>Dr. Nichole Herrera</t>
  </si>
  <si>
    <t>07/02/2025</t>
  </si>
  <si>
    <t>Christopher Lowe</t>
  </si>
  <si>
    <t>Courtney Brooks</t>
  </si>
  <si>
    <t>Kimberly Francis</t>
  </si>
  <si>
    <t>Anthony Flores</t>
  </si>
  <si>
    <t>Heather Ramirez</t>
  </si>
  <si>
    <t>Carrie Sanchez</t>
  </si>
  <si>
    <t>Glenda Hernandez</t>
  </si>
  <si>
    <t>Martha Schwartz</t>
  </si>
  <si>
    <t>06/04/2025</t>
  </si>
  <si>
    <t>Bailey Hobbs</t>
  </si>
  <si>
    <t>09/10/2025</t>
  </si>
  <si>
    <t>Lauren Torres</t>
  </si>
  <si>
    <t>Christopher Ali</t>
  </si>
  <si>
    <t>Alexandra Brown</t>
  </si>
  <si>
    <t>Carl Martin</t>
  </si>
  <si>
    <t>Jasmine Hancock</t>
  </si>
  <si>
    <t>02/15/2025</t>
  </si>
  <si>
    <t>Bryan Ford</t>
  </si>
  <si>
    <t>Amanda Adams</t>
  </si>
  <si>
    <t>Cindy Spence</t>
  </si>
  <si>
    <t>Frank Mcmillan</t>
  </si>
  <si>
    <t>10/24/2025</t>
  </si>
  <si>
    <t>Justin Smith</t>
  </si>
  <si>
    <t>Paige Thompson</t>
  </si>
  <si>
    <t>Anthony Wilson</t>
  </si>
  <si>
    <t>Leslie Miller</t>
  </si>
  <si>
    <t>10/19/2025</t>
  </si>
  <si>
    <t>Kristin Cole</t>
  </si>
  <si>
    <t>Jason Moore</t>
  </si>
  <si>
    <t>Andrea Moore</t>
  </si>
  <si>
    <t>Joshua Martinez</t>
  </si>
  <si>
    <t>09/11/2025</t>
  </si>
  <si>
    <t>Erika Gibson</t>
  </si>
  <si>
    <t>Teresa Parker</t>
  </si>
  <si>
    <t>06/16/2025</t>
  </si>
  <si>
    <t>Joshua Rios</t>
  </si>
  <si>
    <t>Isabella Clark</t>
  </si>
  <si>
    <t>Lori Cruz</t>
  </si>
  <si>
    <t>01/29/2025</t>
  </si>
  <si>
    <t>Richard Goodman</t>
  </si>
  <si>
    <t>Jennifer Evans</t>
  </si>
  <si>
    <t>10/18/2025</t>
  </si>
  <si>
    <t>Sherry Morrison</t>
  </si>
  <si>
    <t>Christopher Clark</t>
  </si>
  <si>
    <t>Christine Gordon</t>
  </si>
  <si>
    <t>Veronica Davidson</t>
  </si>
  <si>
    <t>11/19/2025</t>
  </si>
  <si>
    <t>Glenda Flynn</t>
  </si>
  <si>
    <t>Linda Simpson</t>
  </si>
  <si>
    <t>Brenda Miles</t>
  </si>
  <si>
    <t>Sharon Collins</t>
  </si>
  <si>
    <t>Victor Odom</t>
  </si>
  <si>
    <t>10/16/2025</t>
  </si>
  <si>
    <t>Victoria Richardson</t>
  </si>
  <si>
    <t>Katherine Hill</t>
  </si>
  <si>
    <t>Michelle Allen</t>
  </si>
  <si>
    <t>04/19/2025</t>
  </si>
  <si>
    <t>Rachel Mccall</t>
  </si>
  <si>
    <t>John Johnson</t>
  </si>
  <si>
    <t>Regina Chung</t>
  </si>
  <si>
    <t>William Cooper</t>
  </si>
  <si>
    <t>Arthur George</t>
  </si>
  <si>
    <t>05/19/2025</t>
  </si>
  <si>
    <t>Sheila Daniels</t>
  </si>
  <si>
    <t>Wayne Castro</t>
  </si>
  <si>
    <t>David Perez III</t>
  </si>
  <si>
    <t>Noah Jones</t>
  </si>
  <si>
    <t>Julie Hill</t>
  </si>
  <si>
    <t>07/14/2025</t>
  </si>
  <si>
    <t>Emily Hart</t>
  </si>
  <si>
    <t>Barbara Hale</t>
  </si>
  <si>
    <t>Sheila Ferguson</t>
  </si>
  <si>
    <t>12/02/2025</t>
  </si>
  <si>
    <t>Jason Ballard</t>
  </si>
  <si>
    <t>05/25/2025</t>
  </si>
  <si>
    <t>Samantha Sanders</t>
  </si>
  <si>
    <t>Melvin Foster</t>
  </si>
  <si>
    <t>Christina Roach</t>
  </si>
  <si>
    <t>Richard Moore</t>
  </si>
  <si>
    <t>10/17/2025</t>
  </si>
  <si>
    <t>Joanne Stanton</t>
  </si>
  <si>
    <t>Jason Long</t>
  </si>
  <si>
    <t>Matthew Schwartz</t>
  </si>
  <si>
    <t>Matthew Harper</t>
  </si>
  <si>
    <t>Larry Aguilar</t>
  </si>
  <si>
    <t>Mark Williams</t>
  </si>
  <si>
    <t>Todd Kelly</t>
  </si>
  <si>
    <t>Debbie Chang</t>
  </si>
  <si>
    <t>James Erickson</t>
  </si>
  <si>
    <t>06/17/2025</t>
  </si>
  <si>
    <t>Melissa Little</t>
  </si>
  <si>
    <t>Mrs. Ariel Montgomery</t>
  </si>
  <si>
    <t>08/13/2025</t>
  </si>
  <si>
    <t>Randy Pierce</t>
  </si>
  <si>
    <t>01/20/2025</t>
  </si>
  <si>
    <t>Susan Huff</t>
  </si>
  <si>
    <t>Natasha Elliott</t>
  </si>
  <si>
    <t>Brittany Jefferson</t>
  </si>
  <si>
    <t>Kevin Rogers</t>
  </si>
  <si>
    <t>Jillian Kaufman</t>
  </si>
  <si>
    <t>Taylor Walker</t>
  </si>
  <si>
    <t>Alexandra Curtis</t>
  </si>
  <si>
    <t>Charles Lane</t>
  </si>
  <si>
    <t>Taylor Graham</t>
  </si>
  <si>
    <t>Troy Knight</t>
  </si>
  <si>
    <t>Sarah Rodriguez</t>
  </si>
  <si>
    <t>Taylor Marshall DDS</t>
  </si>
  <si>
    <t>Adam Fernandez</t>
  </si>
  <si>
    <t>Taylor Sanchez</t>
  </si>
  <si>
    <t>Lauren Knox</t>
  </si>
  <si>
    <t>David Hall</t>
  </si>
  <si>
    <t>Lee Anderson</t>
  </si>
  <si>
    <t>Madeline Nicholson</t>
  </si>
  <si>
    <t>Jamie Scott</t>
  </si>
  <si>
    <t>Devin Finley</t>
  </si>
  <si>
    <t>Stephen Wilkerson</t>
  </si>
  <si>
    <t>Joseph Martinez</t>
  </si>
  <si>
    <t>Joseph Mills</t>
  </si>
  <si>
    <t>Mr. Peter Hernandez</t>
  </si>
  <si>
    <t>George Nichols</t>
  </si>
  <si>
    <t>Jim Moyer</t>
  </si>
  <si>
    <t>Daniel Carr</t>
  </si>
  <si>
    <t>08/29/2025</t>
  </si>
  <si>
    <t>Tracey Maynard</t>
  </si>
  <si>
    <t>Pamela Porter</t>
  </si>
  <si>
    <t>07/18/2025</t>
  </si>
  <si>
    <t>Heidi Lindsey</t>
  </si>
  <si>
    <t>Wayne Marshall</t>
  </si>
  <si>
    <t>Scott Lawson</t>
  </si>
  <si>
    <t>Teresa Vargas</t>
  </si>
  <si>
    <t>Howard Campbell</t>
  </si>
  <si>
    <t>Margaret Taylor</t>
  </si>
  <si>
    <t>Carlos Aguilar</t>
  </si>
  <si>
    <t>Sara Butler</t>
  </si>
  <si>
    <t>Kristen Williamson</t>
  </si>
  <si>
    <t>Victor Strickland</t>
  </si>
  <si>
    <t>Erik Hinton</t>
  </si>
  <si>
    <t>Stephen Ramirez</t>
  </si>
  <si>
    <t>David Ball</t>
  </si>
  <si>
    <t>10/27/2025</t>
  </si>
  <si>
    <t>Larry Clark</t>
  </si>
  <si>
    <t>Maria Rich</t>
  </si>
  <si>
    <t>Nathaniel Davis</t>
  </si>
  <si>
    <t>Mrs. Jamie Ochoa</t>
  </si>
  <si>
    <t>Samuel Baldwin</t>
  </si>
  <si>
    <t>05/16/2025</t>
  </si>
  <si>
    <t>Mary Ramirez</t>
  </si>
  <si>
    <t>02/25/2025</t>
  </si>
  <si>
    <t>Robert Carroll</t>
  </si>
  <si>
    <t>Desiree Mitchell</t>
  </si>
  <si>
    <t>Samantha Garrett</t>
  </si>
  <si>
    <t>07/24/2025</t>
  </si>
  <si>
    <t>Donna Hill</t>
  </si>
  <si>
    <t>01/12/2025</t>
  </si>
  <si>
    <t>Jenna Hardin</t>
  </si>
  <si>
    <t>Gary Oliver</t>
  </si>
  <si>
    <t>05/13/2025</t>
  </si>
  <si>
    <t>Kenneth Burns</t>
  </si>
  <si>
    <t>Brittany Ford</t>
  </si>
  <si>
    <t>Wesley Anderson</t>
  </si>
  <si>
    <t>Nicole Hendricks</t>
  </si>
  <si>
    <t>Melanie Tanner</t>
  </si>
  <si>
    <t>Kevin Jones</t>
  </si>
  <si>
    <t>Kevin Spencer</t>
  </si>
  <si>
    <t>Amanda Brooks</t>
  </si>
  <si>
    <t>10/15/2025</t>
  </si>
  <si>
    <t>Brandi Norris</t>
  </si>
  <si>
    <t>Henry Nguyen</t>
  </si>
  <si>
    <t>Sharon Davis</t>
  </si>
  <si>
    <t>11/28/2025</t>
  </si>
  <si>
    <t>Alexandra White</t>
  </si>
  <si>
    <t>Rebecca Robinson</t>
  </si>
  <si>
    <t>Judith Howard</t>
  </si>
  <si>
    <t>Ashley Blair</t>
  </si>
  <si>
    <t>Michelle Morrison</t>
  </si>
  <si>
    <t>06/22/2025</t>
  </si>
  <si>
    <t>Glenda Brooks</t>
  </si>
  <si>
    <t>Eric Ward</t>
  </si>
  <si>
    <t>Brian Reyes</t>
  </si>
  <si>
    <t>David Barajas</t>
  </si>
  <si>
    <t>01/19/2025</t>
  </si>
  <si>
    <t>Rebecca Obrien</t>
  </si>
  <si>
    <t>John Hill</t>
  </si>
  <si>
    <t>Christopher Garrison</t>
  </si>
  <si>
    <t>11/06/2025</t>
  </si>
  <si>
    <t>Gregory Arnold</t>
  </si>
  <si>
    <t>Amy Reynolds</t>
  </si>
  <si>
    <t>Jessica Matthews</t>
  </si>
  <si>
    <t>Elizabeth Fox</t>
  </si>
  <si>
    <t>Ms. Leslie Schmidt</t>
  </si>
  <si>
    <t>Michelle Bolton</t>
  </si>
  <si>
    <t>Derrick Garcia</t>
  </si>
  <si>
    <t>08/11/2025</t>
  </si>
  <si>
    <t>Melissa Gibbs</t>
  </si>
  <si>
    <t>Kelly Freeman</t>
  </si>
  <si>
    <t>Randall Cook</t>
  </si>
  <si>
    <t>Lisa Valdez</t>
  </si>
  <si>
    <t>Thomas Dudley</t>
  </si>
  <si>
    <t>Megan Robles</t>
  </si>
  <si>
    <t>Taylor Gibson</t>
  </si>
  <si>
    <t>05/07/2025</t>
  </si>
  <si>
    <t>Ashley Campbell</t>
  </si>
  <si>
    <t>Erin Holmes</t>
  </si>
  <si>
    <t>Joe Anderson</t>
  </si>
  <si>
    <t>02/06/2025</t>
  </si>
  <si>
    <t>Chad Cole</t>
  </si>
  <si>
    <t>Pamela Alexander</t>
  </si>
  <si>
    <t>Breanna Gibson</t>
  </si>
  <si>
    <t>07/11/2025</t>
  </si>
  <si>
    <t>Kristina Eaton</t>
  </si>
  <si>
    <t>Debbie Miller</t>
  </si>
  <si>
    <t>Terry Wilson</t>
  </si>
  <si>
    <t>Brittany Payne</t>
  </si>
  <si>
    <t>Ann Osborne</t>
  </si>
  <si>
    <t>Barry Walters</t>
  </si>
  <si>
    <t>Brian Taylor</t>
  </si>
  <si>
    <t>Gary Todd</t>
  </si>
  <si>
    <t>Mrs. Dana Rodriguez</t>
  </si>
  <si>
    <t>08/23/2025</t>
  </si>
  <si>
    <t>Richard Mcknight III</t>
  </si>
  <si>
    <t>Tracey Brown</t>
  </si>
  <si>
    <t>Ashley Rivas</t>
  </si>
  <si>
    <t>Mallory Hudson</t>
  </si>
  <si>
    <t>Nathan Stewart</t>
  </si>
  <si>
    <t>11/08/2025</t>
  </si>
  <si>
    <t>Kathleen Powell</t>
  </si>
  <si>
    <t>Jacqueline Hall</t>
  </si>
  <si>
    <t>Dana Padilla</t>
  </si>
  <si>
    <t>Rebecca Casey</t>
  </si>
  <si>
    <t>Patricia White</t>
  </si>
  <si>
    <t>Heather Diaz</t>
  </si>
  <si>
    <t>Angela Baxter</t>
  </si>
  <si>
    <t>Brandon Shepherd</t>
  </si>
  <si>
    <t>Patrick Davis</t>
  </si>
  <si>
    <t>Kevin Rhodes</t>
  </si>
  <si>
    <t>04/30/2025</t>
  </si>
  <si>
    <t>Russell Benson</t>
  </si>
  <si>
    <t>Timothy Miranda</t>
  </si>
  <si>
    <t>Suzanne Marsh</t>
  </si>
  <si>
    <t>05/01/2025</t>
  </si>
  <si>
    <t>Autumn Wilcox DDS</t>
  </si>
  <si>
    <t>Gary Mullins</t>
  </si>
  <si>
    <t>01/14/2025</t>
  </si>
  <si>
    <t>Gerald Valencia</t>
  </si>
  <si>
    <t>Nicholas Williams</t>
  </si>
  <si>
    <t>Sarah Perez</t>
  </si>
  <si>
    <t>Michael Golden</t>
  </si>
  <si>
    <t>Miguel Chavez</t>
  </si>
  <si>
    <t>04/12/2025</t>
  </si>
  <si>
    <t>Joshua Craig</t>
  </si>
  <si>
    <t>03/05/2025</t>
  </si>
  <si>
    <t>James Horton</t>
  </si>
  <si>
    <t>Andrew Phillips</t>
  </si>
  <si>
    <t>Morgan Willis</t>
  </si>
  <si>
    <t>11/11/2025</t>
  </si>
  <si>
    <t>Alicia Wagner</t>
  </si>
  <si>
    <t>Michael Carson</t>
  </si>
  <si>
    <t>Jennifer Rodriguez</t>
  </si>
  <si>
    <t>David Drake</t>
  </si>
  <si>
    <t>Linda Jenkins</t>
  </si>
  <si>
    <t>Hannah Brown</t>
  </si>
  <si>
    <t>Brandon Roberts</t>
  </si>
  <si>
    <t>03/20/2025</t>
  </si>
  <si>
    <t>Douglas Cooper</t>
  </si>
  <si>
    <t>11/05/2025</t>
  </si>
  <si>
    <t>Sean Weber</t>
  </si>
  <si>
    <t>James Harris</t>
  </si>
  <si>
    <t>Heather Henry</t>
  </si>
  <si>
    <t>08/16/2025</t>
  </si>
  <si>
    <t>Tiffany Carroll</t>
  </si>
  <si>
    <t>Mr. Ryan Watson</t>
  </si>
  <si>
    <t>Robert Bush</t>
  </si>
  <si>
    <t>Taylor Pierce</t>
  </si>
  <si>
    <t>Amber Kennedy</t>
  </si>
  <si>
    <t>Manuel Todd</t>
  </si>
  <si>
    <t>Kristin Hardy</t>
  </si>
  <si>
    <t>Todd Sharp</t>
  </si>
  <si>
    <t>Brenda Miller</t>
  </si>
  <si>
    <t>Matthew Davis Jr.</t>
  </si>
  <si>
    <t>Francisco Stevenson</t>
  </si>
  <si>
    <t>Adam Finley</t>
  </si>
  <si>
    <t>Dr. Darren Taylor</t>
  </si>
  <si>
    <t>Bobby Ewing</t>
  </si>
  <si>
    <t>Amy Larson</t>
  </si>
  <si>
    <t>Jeremy Ramos</t>
  </si>
  <si>
    <t>05/26/2025</t>
  </si>
  <si>
    <t>Vanessa Hudson</t>
  </si>
  <si>
    <t>Guy Lawrence</t>
  </si>
  <si>
    <t>Keith Collins MD</t>
  </si>
  <si>
    <t>John Ingram</t>
  </si>
  <si>
    <t>Daniel Hall</t>
  </si>
  <si>
    <t>Krista Townsend</t>
  </si>
  <si>
    <t>Kelsey Smith</t>
  </si>
  <si>
    <t>Charlene Morgan</t>
  </si>
  <si>
    <t>David Gould</t>
  </si>
  <si>
    <t>Tiffany Ramos</t>
  </si>
  <si>
    <t>Madeline Johnson</t>
  </si>
  <si>
    <t>05/31/2025</t>
  </si>
  <si>
    <t>Phillip White</t>
  </si>
  <si>
    <t>01/06/2025</t>
  </si>
  <si>
    <t>Victoria Jackson</t>
  </si>
  <si>
    <t>Robert Snyder</t>
  </si>
  <si>
    <t>11/15/2025</t>
  </si>
  <si>
    <t>Cristian Williams</t>
  </si>
  <si>
    <t>Sherry Scott</t>
  </si>
  <si>
    <t>Mary Larsen</t>
  </si>
  <si>
    <t>Ana Andrade</t>
  </si>
  <si>
    <t>Michael George</t>
  </si>
  <si>
    <t>Candice Cox</t>
  </si>
  <si>
    <t>Jaime Lucas</t>
  </si>
  <si>
    <t>Raven Hoffman</t>
  </si>
  <si>
    <t>Natalie Mendoza</t>
  </si>
  <si>
    <t>Shannon Gibson</t>
  </si>
  <si>
    <t>James Taylor</t>
  </si>
  <si>
    <t>Eric Arroyo</t>
  </si>
  <si>
    <t>09/28/2025</t>
  </si>
  <si>
    <t>Donald Baker</t>
  </si>
  <si>
    <t>Cheryl Ochoa</t>
  </si>
  <si>
    <t>07/20/2025</t>
  </si>
  <si>
    <t>Craig Figueroa</t>
  </si>
  <si>
    <t>08/09/2025</t>
  </si>
  <si>
    <t>Robin Davis</t>
  </si>
  <si>
    <t>Isaac May</t>
  </si>
  <si>
    <t>08/31/2025</t>
  </si>
  <si>
    <t>April Miller</t>
  </si>
  <si>
    <t>Brianna Williams</t>
  </si>
  <si>
    <t>Gregory Sloan</t>
  </si>
  <si>
    <t>Gregory Thornton</t>
  </si>
  <si>
    <t>12/09/2025</t>
  </si>
  <si>
    <t>Nathan Gomez</t>
  </si>
  <si>
    <t>Katherine Harrison</t>
  </si>
  <si>
    <t>Joseph Williams</t>
  </si>
  <si>
    <t>Sharon Oneill</t>
  </si>
  <si>
    <t>Mr. Michael Barton MD</t>
  </si>
  <si>
    <t>Timothy Estrada</t>
  </si>
  <si>
    <t>Cole Mendez</t>
  </si>
  <si>
    <t>Deborah Davis</t>
  </si>
  <si>
    <t>Eric Donovan</t>
  </si>
  <si>
    <t>Eric Rojas III</t>
  </si>
  <si>
    <t>Mark Hart</t>
  </si>
  <si>
    <t>Charles Williams</t>
  </si>
  <si>
    <t>10/12/2025</t>
  </si>
  <si>
    <t>Mrs. Katherine Williams MD</t>
  </si>
  <si>
    <t>Beverly Schneider</t>
  </si>
  <si>
    <t>08/27/2025</t>
  </si>
  <si>
    <t>Richard Miller</t>
  </si>
  <si>
    <t>Michelle Paul</t>
  </si>
  <si>
    <t>12/11/2025</t>
  </si>
  <si>
    <t>Charles Nguyen</t>
  </si>
  <si>
    <t>Adam Brooks</t>
  </si>
  <si>
    <t>Chad Johnson</t>
  </si>
  <si>
    <t>Elizabeth Wu</t>
  </si>
  <si>
    <t>Matthew Hall</t>
  </si>
  <si>
    <t>Michelle Smith</t>
  </si>
  <si>
    <t>Patrick Rodriguez</t>
  </si>
  <si>
    <t>Kevin Moore</t>
  </si>
  <si>
    <t>Jennifer Salazar</t>
  </si>
  <si>
    <t>Jason Smith</t>
  </si>
  <si>
    <t>Jermaine Lawson</t>
  </si>
  <si>
    <t>Garrett Jarvis</t>
  </si>
  <si>
    <t>Elizabeth Casey</t>
  </si>
  <si>
    <t>Sue Peters</t>
  </si>
  <si>
    <t>April Reed</t>
  </si>
  <si>
    <t>01/09/2025</t>
  </si>
  <si>
    <t>Lisa Sutton DDS</t>
  </si>
  <si>
    <t>Darlene Holloway</t>
  </si>
  <si>
    <t>Christopher Campbell</t>
  </si>
  <si>
    <t>Eric Morgan</t>
  </si>
  <si>
    <t>Alyssa Riley</t>
  </si>
  <si>
    <t>Angela Reyes</t>
  </si>
  <si>
    <t>Keith Thomas</t>
  </si>
  <si>
    <t>Bonnie Mckenzie</t>
  </si>
  <si>
    <t>Stephanie Knight</t>
  </si>
  <si>
    <t>Jose Brown</t>
  </si>
  <si>
    <t>Laura Frye</t>
  </si>
  <si>
    <t>Gloria Marks</t>
  </si>
  <si>
    <t>Amy Barron</t>
  </si>
  <si>
    <t>Allison Carr</t>
  </si>
  <si>
    <t>Jeffrey Harding</t>
  </si>
  <si>
    <t>Breanna Padilla</t>
  </si>
  <si>
    <t>04/18/2025</t>
  </si>
  <si>
    <t>Patricia Moreno</t>
  </si>
  <si>
    <t>Yolanda Hernandez</t>
  </si>
  <si>
    <t>Matthew Reyes</t>
  </si>
  <si>
    <t>Lisa Hodge</t>
  </si>
  <si>
    <t>Dr. Denise Pratt</t>
  </si>
  <si>
    <t>Kathryn Neal</t>
  </si>
  <si>
    <t>Scott Daniels</t>
  </si>
  <si>
    <t>Elizabeth Wilson</t>
  </si>
  <si>
    <t>Daniel Norton</t>
  </si>
  <si>
    <t>08/19/2025</t>
  </si>
  <si>
    <t>Christopher Johnson</t>
  </si>
  <si>
    <t>Gary Young</t>
  </si>
  <si>
    <t>Lisa Peters</t>
  </si>
  <si>
    <t>Jasmine Nelson MD</t>
  </si>
  <si>
    <t>Chad Sandoval</t>
  </si>
  <si>
    <t>Tiffany Whitney</t>
  </si>
  <si>
    <t>Brett Gilbert</t>
  </si>
  <si>
    <t>Natasha Smith</t>
  </si>
  <si>
    <t>Veronica Hall</t>
  </si>
  <si>
    <t>Nicolas Owens</t>
  </si>
  <si>
    <t>Christine Williams</t>
  </si>
  <si>
    <t>Nicholas West</t>
  </si>
  <si>
    <t>Michael Bryan</t>
  </si>
  <si>
    <t>Sara Huff</t>
  </si>
  <si>
    <t>Mark Walker</t>
  </si>
  <si>
    <t>Danielle Gibson</t>
  </si>
  <si>
    <t>Ashley Stephenson</t>
  </si>
  <si>
    <t>Heidi Jones</t>
  </si>
  <si>
    <t>11/12/2025</t>
  </si>
  <si>
    <t>Doris Gordon</t>
  </si>
  <si>
    <t>08/01/2025</t>
  </si>
  <si>
    <t>Brandon Craig</t>
  </si>
  <si>
    <t>Stephen Berger</t>
  </si>
  <si>
    <t>Christine Roberts</t>
  </si>
  <si>
    <t>Jennifer Ruiz</t>
  </si>
  <si>
    <t>Michael Miller</t>
  </si>
  <si>
    <t>Thomas Weber</t>
  </si>
  <si>
    <t>Stephanie Davis</t>
  </si>
  <si>
    <t>Marc Wallace</t>
  </si>
  <si>
    <t>Eric Acosta</t>
  </si>
  <si>
    <t>Katrina Gibbs</t>
  </si>
  <si>
    <t>10/08/2025</t>
  </si>
  <si>
    <t>Jason Kennedy</t>
  </si>
  <si>
    <t>Christopher Cruz</t>
  </si>
  <si>
    <t>Matthew Thomas</t>
  </si>
  <si>
    <t>Laura Franklin</t>
  </si>
  <si>
    <t>James Sosa</t>
  </si>
  <si>
    <t>Hector Moreno</t>
  </si>
  <si>
    <t>Tyler Smith</t>
  </si>
  <si>
    <t>Jason Turner</t>
  </si>
  <si>
    <t>Mrs. Holly Maldonado</t>
  </si>
  <si>
    <t>Rachel Meyers</t>
  </si>
  <si>
    <t>Pamela Barker</t>
  </si>
  <si>
    <t>David Smith</t>
  </si>
  <si>
    <t>06/02/2025</t>
  </si>
  <si>
    <t>Tina Miller DDS</t>
  </si>
  <si>
    <t>Susan Griffin</t>
  </si>
  <si>
    <t>Monica Hopkins</t>
  </si>
  <si>
    <t>Alan Stewart</t>
  </si>
  <si>
    <t>Matthew Scott</t>
  </si>
  <si>
    <t>08/26/2025</t>
  </si>
  <si>
    <t>Joshua Harris</t>
  </si>
  <si>
    <t>Rebecca Ramos</t>
  </si>
  <si>
    <t>Barry Flores</t>
  </si>
  <si>
    <t>Anna Drake</t>
  </si>
  <si>
    <t>08/06/2025</t>
  </si>
  <si>
    <t>Paul Lee</t>
  </si>
  <si>
    <t>Annette Davis</t>
  </si>
  <si>
    <t>09/03/2025</t>
  </si>
  <si>
    <t>Frances Smith</t>
  </si>
  <si>
    <t>Joshua Johnson</t>
  </si>
  <si>
    <t>Jacob Hall</t>
  </si>
  <si>
    <t>Ryan Reed</t>
  </si>
  <si>
    <t>Marcus Wright</t>
  </si>
  <si>
    <t>Jacqueline Berry</t>
  </si>
  <si>
    <t>David Booth</t>
  </si>
  <si>
    <t>Daniel Butler</t>
  </si>
  <si>
    <t>Gregory Williams</t>
  </si>
  <si>
    <t>Melissa Rodriguez</t>
  </si>
  <si>
    <t>Jason Nelson</t>
  </si>
  <si>
    <t>Corey Potts</t>
  </si>
  <si>
    <t>Linda Stout</t>
  </si>
  <si>
    <t>Christina Warren</t>
  </si>
  <si>
    <t>Laura Morales</t>
  </si>
  <si>
    <t>Eugene Murphy</t>
  </si>
  <si>
    <t>Jose Castillo</t>
  </si>
  <si>
    <t>Veronica Conner</t>
  </si>
  <si>
    <t>Amy Cox</t>
  </si>
  <si>
    <t>Jennifer Mathews</t>
  </si>
  <si>
    <t>11/03/2025</t>
  </si>
  <si>
    <t>Michael Heath</t>
  </si>
  <si>
    <t>David Miller</t>
  </si>
  <si>
    <t>David Gonzalez</t>
  </si>
  <si>
    <t>Andrew Cook</t>
  </si>
  <si>
    <t>Andrew Armstrong</t>
  </si>
  <si>
    <t>Jessica Williams</t>
  </si>
  <si>
    <t>Brent Dennis</t>
  </si>
  <si>
    <t>Lisa French</t>
  </si>
  <si>
    <t>Julie Williams</t>
  </si>
  <si>
    <t>Marcia Edwards</t>
  </si>
  <si>
    <t>Michael Cherry</t>
  </si>
  <si>
    <t>Misty Waters</t>
  </si>
  <si>
    <t>Laura Murphy</t>
  </si>
  <si>
    <t>Shannon Stephens</t>
  </si>
  <si>
    <t>Leah Miller</t>
  </si>
  <si>
    <t>Laura May</t>
  </si>
  <si>
    <t>Douglas Reyes</t>
  </si>
  <si>
    <t>Veronica Torres</t>
  </si>
  <si>
    <t>01/16/2025</t>
  </si>
  <si>
    <t>Anita Mcgee</t>
  </si>
  <si>
    <t>Erin Ayala</t>
  </si>
  <si>
    <t>Candice Barton</t>
  </si>
  <si>
    <t>Lori Drake</t>
  </si>
  <si>
    <t>Diamond Gillespie</t>
  </si>
  <si>
    <t>Steve Wang</t>
  </si>
  <si>
    <t>Thomas Lambert</t>
  </si>
  <si>
    <t>Emily Garcia</t>
  </si>
  <si>
    <t>Amy Carroll</t>
  </si>
  <si>
    <t>07/01/2025</t>
  </si>
  <si>
    <t>Joseph Hansen</t>
  </si>
  <si>
    <t>David Savage</t>
  </si>
  <si>
    <t>Gina Coleman</t>
  </si>
  <si>
    <t>Tiffany Le</t>
  </si>
  <si>
    <t>06/21/2025</t>
  </si>
  <si>
    <t>Stacy Lamb</t>
  </si>
  <si>
    <t>Andrew Flores</t>
  </si>
  <si>
    <t>Megan Anderson</t>
  </si>
  <si>
    <t>Heather Cole</t>
  </si>
  <si>
    <t>Bruce Mcgee</t>
  </si>
  <si>
    <t>Karen Tucker</t>
  </si>
  <si>
    <t>Carrie Kirby</t>
  </si>
  <si>
    <t>Cassandra Brown</t>
  </si>
  <si>
    <t>Sarah Schaefer</t>
  </si>
  <si>
    <t>Kevin Bryan</t>
  </si>
  <si>
    <t>Christina Berg</t>
  </si>
  <si>
    <t>Vanessa Torres</t>
  </si>
  <si>
    <t>Lisa Richardson</t>
  </si>
  <si>
    <t>Gary Medina</t>
  </si>
  <si>
    <t>Christopher Smith</t>
  </si>
  <si>
    <t>07/31/2025</t>
  </si>
  <si>
    <t>Kayla Bell</t>
  </si>
  <si>
    <t>William Smith</t>
  </si>
  <si>
    <t>Mr. Nathaniel Clarke</t>
  </si>
  <si>
    <t>Barry Hamilton</t>
  </si>
  <si>
    <t>Michael Conner</t>
  </si>
  <si>
    <t>Lisa Smith PhD</t>
  </si>
  <si>
    <t>Kevin Harrington</t>
  </si>
  <si>
    <t>Kristen Smith</t>
  </si>
  <si>
    <t>Candace Hunter</t>
  </si>
  <si>
    <t>Denise Barry</t>
  </si>
  <si>
    <t>Holly Armstrong</t>
  </si>
  <si>
    <t>Miguel Lara</t>
  </si>
  <si>
    <t>Donna Vaughn</t>
  </si>
  <si>
    <t>Chad Tucker Jr.</t>
  </si>
  <si>
    <t>Emma Knapp</t>
  </si>
  <si>
    <t>Stephanie Austin</t>
  </si>
  <si>
    <t>Janet Massey</t>
  </si>
  <si>
    <t>Thomas Harris</t>
  </si>
  <si>
    <t>Edward Thomas</t>
  </si>
  <si>
    <t>Mason Harvey</t>
  </si>
  <si>
    <t>Sheena Rodriguez</t>
  </si>
  <si>
    <t>Jason Baker</t>
  </si>
  <si>
    <t>Leah Tucker</t>
  </si>
  <si>
    <t>Ronald Drake</t>
  </si>
  <si>
    <t>Anthony Malone</t>
  </si>
  <si>
    <t>Jacob Watkins</t>
  </si>
  <si>
    <t>Gabriel Carroll</t>
  </si>
  <si>
    <t>Dustin Henderson</t>
  </si>
  <si>
    <t>Christopher Holmes</t>
  </si>
  <si>
    <t>Kenneth Gomez</t>
  </si>
  <si>
    <t>Alexander Clements</t>
  </si>
  <si>
    <t>Ronald Howard</t>
  </si>
  <si>
    <t>Shawna Mccarthy</t>
  </si>
  <si>
    <t>Joshua Owens</t>
  </si>
  <si>
    <t>Michael Fischer</t>
  </si>
  <si>
    <t>Alec Olson Jr.</t>
  </si>
  <si>
    <t>Stacy Salas</t>
  </si>
  <si>
    <t>Cindy Armstrong</t>
  </si>
  <si>
    <t>Gary Taylor</t>
  </si>
  <si>
    <t>Lisa Lewis</t>
  </si>
  <si>
    <t>Cynthia King</t>
  </si>
  <si>
    <t>Daniel Henderson</t>
  </si>
  <si>
    <t>Cynthia Anderson</t>
  </si>
  <si>
    <t>01/21/2025</t>
  </si>
  <si>
    <t>Miranda Gonzalez</t>
  </si>
  <si>
    <t>Brendan Hill</t>
  </si>
  <si>
    <t>April Vasquez</t>
  </si>
  <si>
    <t>Ryan Sawyer</t>
  </si>
  <si>
    <t>02/05/2025</t>
  </si>
  <si>
    <t>Amanda Rodriguez</t>
  </si>
  <si>
    <t>Samantha Roy</t>
  </si>
  <si>
    <t>Candace Warner</t>
  </si>
  <si>
    <t>James Garcia</t>
  </si>
  <si>
    <t>Rachel Hicks</t>
  </si>
  <si>
    <t>Debra Mitchell</t>
  </si>
  <si>
    <t>Caitlin Neal</t>
  </si>
  <si>
    <t>Brianna Vargas</t>
  </si>
  <si>
    <t>Ryan Morrow</t>
  </si>
  <si>
    <t>Diana Sparks</t>
  </si>
  <si>
    <t>Charles Thompson</t>
  </si>
  <si>
    <t>Cassandra Mckenzie</t>
  </si>
  <si>
    <t>Mark White</t>
  </si>
  <si>
    <t>Quantity Sold - Fixed</t>
  </si>
  <si>
    <t>Unit Price - Fixed</t>
  </si>
  <si>
    <t>Total Revenue - Fixed</t>
  </si>
  <si>
    <t>Total Revenue</t>
  </si>
  <si>
    <t>Unit Price</t>
  </si>
  <si>
    <t>Quantity Sold</t>
  </si>
  <si>
    <t>Sum of Total Revenue</t>
  </si>
  <si>
    <t>Total Qty Sold</t>
  </si>
  <si>
    <t>Total Revenue Generated</t>
  </si>
  <si>
    <t>Row Labels</t>
  </si>
  <si>
    <t>Grand Total</t>
  </si>
  <si>
    <t>Year</t>
  </si>
  <si>
    <t>Month</t>
  </si>
  <si>
    <t>Day</t>
  </si>
  <si>
    <t>February</t>
  </si>
  <si>
    <t>Tuesday</t>
  </si>
  <si>
    <t>March</t>
  </si>
  <si>
    <t>April</t>
  </si>
  <si>
    <t>Thursday</t>
  </si>
  <si>
    <t>November</t>
  </si>
  <si>
    <t>Wednesday</t>
  </si>
  <si>
    <t>Saturday</t>
  </si>
  <si>
    <t>July</t>
  </si>
  <si>
    <t>Sunday</t>
  </si>
  <si>
    <t>August</t>
  </si>
  <si>
    <t>Monday</t>
  </si>
  <si>
    <t>September</t>
  </si>
  <si>
    <t>October</t>
  </si>
  <si>
    <t>Friday</t>
  </si>
  <si>
    <t>January</t>
  </si>
  <si>
    <t>May</t>
  </si>
  <si>
    <t>June</t>
  </si>
  <si>
    <t>December</t>
  </si>
  <si>
    <t>Column Labels</t>
  </si>
  <si>
    <t>Average Qty Sold</t>
  </si>
  <si>
    <t>Average Revenue Generated</t>
  </si>
  <si>
    <t>Products</t>
  </si>
  <si>
    <t>Months</t>
  </si>
  <si>
    <t>Total Quantity Sold</t>
  </si>
  <si>
    <t xml:space="preserve">Total Revenue </t>
  </si>
  <si>
    <t>mom% growth</t>
  </si>
  <si>
    <t>Revenue MTD</t>
  </si>
  <si>
    <t>Sum of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</si>
</sst>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6A]#,##0.00"/>
    <numFmt numFmtId="165" formatCode="_-[$€-2]\ * #,##0.00_-;\-[$€-2]\ * #,##0.00_-;_-[$€-2]\ * &quot;-&quot;??_-;_-@_-"/>
    <numFmt numFmtId="166" formatCode="[$£-809]#,##0.00"/>
    <numFmt numFmtId="167" formatCode="&quot;£&quot;#,##0.00"/>
    <numFmt numFmtId="168" formatCode="&quot;£&quot;#,##0"/>
  </numFmts>
  <fonts count="4" x14ac:knownFonts="1">
    <font>
      <sz val="11"/>
      <color theme="1"/>
      <name val="Aptos Narrow"/>
      <family val="2"/>
      <scheme val="minor"/>
    </font>
    <font>
      <b/>
      <sz val="11"/>
      <color theme="0"/>
      <name val="Calibri"/>
    </font>
    <font>
      <sz val="8"/>
      <name val="Aptos Narrow"/>
      <family val="2"/>
      <scheme val="minor"/>
    </font>
    <font>
      <b/>
      <sz val="11"/>
      <color theme="0"/>
      <name val="Aptos Narrow"/>
      <family val="2"/>
      <scheme val="minor"/>
    </font>
  </fonts>
  <fills count="6">
    <fill>
      <patternFill patternType="none"/>
    </fill>
    <fill>
      <patternFill patternType="gray125"/>
    </fill>
    <fill>
      <patternFill patternType="solid">
        <fgColor theme="4"/>
        <bgColor theme="4"/>
      </patternFill>
    </fill>
    <fill>
      <patternFill patternType="solid">
        <fgColor theme="9"/>
        <bgColor theme="9"/>
      </patternFill>
    </fill>
    <fill>
      <patternFill patternType="solid">
        <fgColor theme="9" tint="0.79998168889431442"/>
        <bgColor theme="9" tint="0.79998168889431442"/>
      </patternFill>
    </fill>
    <fill>
      <patternFill patternType="solid">
        <fgColor theme="1"/>
        <bgColor indexed="64"/>
      </patternFill>
    </fill>
  </fills>
  <borders count="10">
    <border>
      <left/>
      <right/>
      <top/>
      <bottom/>
      <diagonal/>
    </border>
    <border>
      <left/>
      <right/>
      <top style="thin">
        <color rgb="FF000000"/>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rgb="FF000000"/>
      </top>
      <bottom/>
      <diagonal/>
    </border>
    <border>
      <left/>
      <right style="thin">
        <color theme="4"/>
      </right>
      <top style="thin">
        <color rgb="FF000000"/>
      </top>
      <bottom/>
      <diagonal/>
    </border>
    <border>
      <left style="thin">
        <color rgb="FF000000"/>
      </left>
      <right/>
      <top/>
      <bottom/>
      <diagonal/>
    </border>
    <border>
      <left style="thin">
        <color rgb="FF000000"/>
      </left>
      <right style="thin">
        <color rgb="FF000000"/>
      </right>
      <top/>
      <bottom/>
      <diagonal/>
    </border>
    <border>
      <left/>
      <right/>
      <top style="thin">
        <color theme="9" tint="0.39997558519241921"/>
      </top>
      <bottom/>
      <diagonal/>
    </border>
  </borders>
  <cellStyleXfs count="1">
    <xf numFmtId="0" fontId="0" fillId="0" borderId="0"/>
  </cellStyleXfs>
  <cellXfs count="30">
    <xf numFmtId="0" fontId="0" fillId="0" borderId="0" xfId="0"/>
    <xf numFmtId="0" fontId="0" fillId="0" borderId="3" xfId="0" applyBorder="1"/>
    <xf numFmtId="0" fontId="0" fillId="0" borderId="4" xfId="0" applyBorder="1"/>
    <xf numFmtId="0" fontId="0" fillId="0" borderId="1" xfId="0" applyBorder="1"/>
    <xf numFmtId="164" fontId="0" fillId="0" borderId="1" xfId="0" applyNumberFormat="1" applyBorder="1"/>
    <xf numFmtId="0" fontId="0" fillId="0" borderId="6" xfId="0" applyBorder="1"/>
    <xf numFmtId="164" fontId="0" fillId="0" borderId="3" xfId="0" applyNumberFormat="1" applyBorder="1"/>
    <xf numFmtId="0" fontId="1" fillId="2" borderId="7" xfId="0" applyFont="1" applyFill="1" applyBorder="1" applyAlignment="1">
      <alignment horizontal="center" vertical="top"/>
    </xf>
    <xf numFmtId="164" fontId="1" fillId="2" borderId="7" xfId="0" applyNumberFormat="1" applyFont="1" applyFill="1" applyBorder="1" applyAlignment="1">
      <alignment horizontal="center" vertical="top"/>
    </xf>
    <xf numFmtId="0" fontId="1" fillId="2" borderId="8" xfId="0" applyFont="1" applyFill="1" applyBorder="1" applyAlignment="1">
      <alignment horizontal="center" vertical="top"/>
    </xf>
    <xf numFmtId="14" fontId="0" fillId="0" borderId="5" xfId="0" applyNumberFormat="1" applyBorder="1"/>
    <xf numFmtId="14" fontId="0" fillId="0" borderId="2" xfId="0" applyNumberFormat="1" applyBorder="1"/>
    <xf numFmtId="0" fontId="0" fillId="4" borderId="9" xfId="0" applyFill="1" applyBorder="1"/>
    <xf numFmtId="0" fontId="0" fillId="0" borderId="9" xfId="0" applyBorder="1"/>
    <xf numFmtId="0" fontId="3" fillId="3" borderId="0" xfId="0" applyFont="1" applyFill="1"/>
    <xf numFmtId="1" fontId="3" fillId="3" borderId="0" xfId="0" applyNumberFormat="1" applyFont="1" applyFill="1"/>
    <xf numFmtId="1" fontId="0" fillId="0" borderId="9" xfId="0" applyNumberFormat="1" applyBorder="1"/>
    <xf numFmtId="1" fontId="0" fillId="4" borderId="9" xfId="0" applyNumberFormat="1" applyFill="1" applyBorder="1"/>
    <xf numFmtId="1" fontId="0" fillId="0" borderId="0" xfId="0" applyNumberFormat="1"/>
    <xf numFmtId="0" fontId="0" fillId="0" borderId="0" xfId="0" pivotButton="1"/>
    <xf numFmtId="0" fontId="0" fillId="0" borderId="0" xfId="0" applyAlignment="1">
      <alignment horizontal="left"/>
    </xf>
    <xf numFmtId="14" fontId="0" fillId="0" borderId="0" xfId="0" applyNumberFormat="1"/>
    <xf numFmtId="165" fontId="0" fillId="0" borderId="0" xfId="0" applyNumberFormat="1"/>
    <xf numFmtId="2" fontId="0" fillId="0" borderId="0" xfId="0" applyNumberFormat="1"/>
    <xf numFmtId="166" fontId="0" fillId="0" borderId="0" xfId="0" applyNumberFormat="1"/>
    <xf numFmtId="167" fontId="0" fillId="0" borderId="0" xfId="0" applyNumberFormat="1"/>
    <xf numFmtId="10" fontId="0" fillId="0" borderId="0" xfId="0" applyNumberFormat="1"/>
    <xf numFmtId="165" fontId="0" fillId="0" borderId="0" xfId="0" pivotButton="1" applyNumberFormat="1"/>
    <xf numFmtId="168" fontId="0" fillId="0" borderId="0" xfId="0" applyNumberFormat="1"/>
    <xf numFmtId="0" fontId="0" fillId="5" borderId="0" xfId="0" applyFill="1"/>
  </cellXfs>
  <cellStyles count="1">
    <cellStyle name="Normal" xfId="0" builtinId="0"/>
  </cellStyles>
  <dxfs count="58">
    <dxf>
      <fill>
        <patternFill>
          <bgColor theme="9"/>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3" tint="0.499984740745262"/>
        </patternFill>
      </fill>
    </dxf>
    <dxf>
      <numFmt numFmtId="168" formatCode="&quot;£&quot;#,##0"/>
    </dxf>
    <dxf>
      <numFmt numFmtId="168" formatCode="&quot;£&quot;#,##0"/>
    </dxf>
    <dxf>
      <numFmt numFmtId="0" formatCode="General"/>
    </dxf>
    <dxf>
      <numFmt numFmtId="0" formatCode="General"/>
    </dxf>
    <dxf>
      <numFmt numFmtId="0" formatCode="General"/>
    </dxf>
    <dxf>
      <numFmt numFmtId="0" formatCode="General"/>
    </dxf>
    <dxf>
      <numFmt numFmtId="0" formatCode="General"/>
    </dxf>
    <dxf>
      <numFmt numFmtId="19" formatCode="dd/mm/yyyy"/>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scheme val="minor"/>
      </font>
      <numFmt numFmtId="1" formatCode="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ill>
        <patternFill patternType="solid">
          <fgColor rgb="FFDAF2D0"/>
          <bgColor rgb="FFDAF2D0"/>
        </patternFill>
      </fill>
    </dxf>
    <dxf>
      <border outline="0">
        <left style="thin">
          <color theme="9" tint="0.39997558519241921"/>
        </left>
        <top style="thin">
          <color theme="9" tint="0.39997558519241921"/>
        </top>
        <bottom style="thin">
          <color theme="9" tint="0.3999755851924192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font>
        <b val="0"/>
        <i val="0"/>
        <strike val="0"/>
        <condense val="0"/>
        <extend val="0"/>
        <outline val="0"/>
        <shadow val="0"/>
        <u val="none"/>
        <vertAlign val="baseline"/>
        <sz val="11"/>
        <color theme="1"/>
        <name val="Aptos Narrow"/>
        <family val="2"/>
        <scheme val="minor"/>
      </font>
      <border diagonalUp="0" diagonalDown="0">
        <left/>
        <right style="thin">
          <color theme="4"/>
        </right>
        <top style="thin">
          <color theme="4"/>
        </top>
        <bottom/>
        <vertical/>
        <horizontal/>
      </border>
    </dxf>
    <dxf>
      <font>
        <b val="0"/>
        <i val="0"/>
        <strike val="0"/>
        <condense val="0"/>
        <extend val="0"/>
        <outline val="0"/>
        <shadow val="0"/>
        <u val="none"/>
        <vertAlign val="baseline"/>
        <sz val="11"/>
        <color theme="1"/>
        <name val="Aptos Narrow"/>
        <family val="2"/>
        <scheme val="minor"/>
      </font>
      <numFmt numFmtId="164" formatCode="[$₦-46A]#,##0.00"/>
      <border diagonalUp="0" diagonalDown="0">
        <left/>
        <right/>
        <top style="thin">
          <color theme="4"/>
        </top>
        <bottom/>
        <vertical/>
        <horizontal/>
      </border>
    </dxf>
    <dxf>
      <font>
        <b val="0"/>
        <i val="0"/>
        <strike val="0"/>
        <condense val="0"/>
        <extend val="0"/>
        <outline val="0"/>
        <shadow val="0"/>
        <u val="none"/>
        <vertAlign val="baseline"/>
        <sz val="11"/>
        <color theme="1"/>
        <name val="Aptos Narrow"/>
        <family val="2"/>
        <scheme val="minor"/>
      </font>
      <numFmt numFmtId="164" formatCode="[$₦-46A]#,##0.00"/>
      <border diagonalUp="0" diagonalDown="0">
        <left/>
        <right/>
        <top style="thin">
          <color theme="4"/>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Aptos Narrow"/>
        <family val="2"/>
        <scheme val="minor"/>
      </font>
      <border diagonalUp="0" diagonalDown="0" outline="0">
        <left/>
        <right/>
        <top style="thin">
          <color theme="4"/>
        </top>
        <bottom/>
      </border>
    </dxf>
    <dxf>
      <font>
        <b val="0"/>
        <i val="0"/>
        <strike val="0"/>
        <condense val="0"/>
        <extend val="0"/>
        <outline val="0"/>
        <shadow val="0"/>
        <u val="none"/>
        <vertAlign val="baseline"/>
        <sz val="11"/>
        <color theme="1"/>
        <name val="Aptos Narrow"/>
        <family val="2"/>
        <scheme val="minor"/>
      </font>
      <numFmt numFmtId="19" formatCode="dd/mm/yyyy"/>
      <border diagonalUp="0" diagonalDown="0" outline="0">
        <left style="thin">
          <color theme="4"/>
        </left>
        <right/>
        <top style="thin">
          <color theme="4"/>
        </top>
        <bottom/>
      </border>
    </dxf>
    <dxf>
      <border outline="0">
        <top style="thin">
          <color rgb="FF000000"/>
        </top>
        <bottom style="thin">
          <color theme="4"/>
        </bottom>
      </border>
    </dxf>
    <dxf>
      <font>
        <b/>
        <i val="0"/>
        <strike val="0"/>
        <condense val="0"/>
        <extend val="0"/>
        <outline val="0"/>
        <shadow val="0"/>
        <u val="none"/>
        <vertAlign val="baseline"/>
        <sz val="11"/>
        <color theme="0"/>
        <name val="Calibri"/>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rgb="FF000000"/>
        </left>
        <right style="thin">
          <color rgb="FF000000"/>
        </right>
        <top/>
        <bottom/>
      </border>
    </dxf>
    <dxf>
      <numFmt numFmtId="2" formatCode="0.00"/>
    </dxf>
    <dxf>
      <numFmt numFmtId="165" formatCode="_-[$€-2]\ * #,##0.00_-;\-[$€-2]\ * #,##0.00_-;_-[$€-2]\ * &quot;-&quot;??_-;_-@_-"/>
    </dxf>
    <dxf>
      <numFmt numFmtId="165" formatCode="_-[$€-2]\ * #,##0.00_-;\-[$€-2]\ * #,##0.00_-;_-[$€-2]\ * &quot;-&quot;??_-;_-@_-"/>
    </dxf>
    <dxf>
      <numFmt numFmtId="167" formatCode="&quot;£&quot;#,##0.00"/>
    </dxf>
    <dxf>
      <numFmt numFmtId="167" formatCode="&quot;£&quot;#,##0.00"/>
    </dxf>
    <dxf>
      <numFmt numFmtId="167" formatCode="&quot;£&quot;#,##0.00"/>
    </dxf>
    <dxf>
      <numFmt numFmtId="1" formatCode="0"/>
    </dxf>
    <dxf>
      <numFmt numFmtId="167" formatCode="&quot;£&quot;#,##0.00"/>
    </dxf>
    <dxf>
      <numFmt numFmtId="167" formatCode="&quot;£&quot;#,##0.00"/>
    </dxf>
    <dxf>
      <numFmt numFmtId="165" formatCode="_-[$€-2]\ * #,##0.00_-;\-[$€-2]\ * #,##0.00_-;_-[$€-2]\ * &quot;-&quot;??_-;_-@_-"/>
    </dxf>
    <dxf>
      <numFmt numFmtId="165" formatCode="_-[$€-2]\ * #,##0.00_-;\-[$€-2]\ * #,##0.00_-;_-[$€-2]\ * &quot;-&quot;??_-;_-@_-"/>
    </dxf>
    <dxf>
      <fill>
        <patternFill>
          <bgColor theme="3" tint="0.499984740745262"/>
        </patternFill>
      </fill>
    </dxf>
  </dxfs>
  <tableStyles count="0" defaultTableStyle="TableStyleMedium2" defaultPivotStyle="PivotStyleLight16"/>
  <colors>
    <mruColors>
      <color rgb="FFEC91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[ALDI_Working_sheet.xlsx]rev by month!PivotTable2month by revenue</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 by month'!$B$3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'rev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'rev by month'!$B$4:$B$16</c:f>
              <c:numCache>
                <c:formatCode>"£"#,##0</c:formatCode>
                <c:ptCount val="12"/>
                <c:pt idx="0">
                  <c:v>138906</c:v>
                </c:pt>
                <c:pt idx="1">
                  <c:v>156213</c:v>
                </c:pt>
                <c:pt idx="2">
                  <c:v>173446</c:v>
                </c:pt>
                <c:pt idx="3">
                  <c:v>128994</c:v>
                </c:pt>
                <c:pt idx="4">
                  <c:v>182697</c:v>
                </c:pt>
                <c:pt idx="5">
                  <c:v>180932</c:v>
                </c:pt>
                <c:pt idx="6">
                  <c:v>158675</c:v>
                </c:pt>
                <c:pt idx="7">
                  <c:v>131156</c:v>
                </c:pt>
                <c:pt idx="8">
                  <c:v>157979</c:v>
                </c:pt>
                <c:pt idx="9">
                  <c:v>142798</c:v>
                </c:pt>
                <c:pt idx="10">
                  <c:v>159742</c:v>
                </c:pt>
                <c:pt idx="11">
                  <c:v>158685</c:v>
                </c:pt>
              </c:numCache>
            </c:numRef>
          </c:val>
          <c:smooth val="0"/>
          <c:extLst>
            <c:ext xmlns:c16="http://schemas.microsoft.com/office/drawing/2014/chart" uri="{C3380CC4-5D6E-409C-BE32-E72D297353CC}">
              <c16:uniqueId val="{00000000-BD86-4F00-A554-7A6BCE4D444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58916240"/>
        <c:axId val="1458910480"/>
      </c:lineChart>
      <c:catAx>
        <c:axId val="14589162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58910480"/>
        <c:crosses val="autoZero"/>
        <c:auto val="1"/>
        <c:lblAlgn val="ctr"/>
        <c:lblOffset val="100"/>
        <c:noMultiLvlLbl val="0"/>
      </c:catAx>
      <c:valAx>
        <c:axId val="1458910480"/>
        <c:scaling>
          <c:orientation val="minMax"/>
        </c:scaling>
        <c:delete val="1"/>
        <c:axPos val="l"/>
        <c:numFmt formatCode="&quot;£&quot;#,##0" sourceLinked="1"/>
        <c:majorTickMark val="none"/>
        <c:minorTickMark val="none"/>
        <c:tickLblPos val="nextTo"/>
        <c:crossAx val="145891624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[ALDI_Working_sheet.xlsx]rev by month!store by revenue</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 by month'!$B$18</c:f>
              <c:strCache>
                <c:ptCount val="1"/>
                <c:pt idx="0">
                  <c:v>Total</c:v>
                </c:pt>
              </c:strCache>
            </c:strRef>
          </c:tx>
          <c:spPr>
            <a:solidFill>
              <a:schemeClr val="accent1"/>
            </a:solidFill>
            <a:ln>
              <a:noFill/>
            </a:ln>
            <a:effectLst/>
          </c:spPr>
          <c:invertIfNegative val="0"/>
          <c:cat>
            <c:strRef>
              <c:f>'rev by month'!$A$19:$A$25</c:f>
              <c:strCache>
                <c:ptCount val="6"/>
                <c:pt idx="0">
                  <c:v>Online</c:v>
                </c:pt>
                <c:pt idx="1">
                  <c:v>Store A</c:v>
                </c:pt>
                <c:pt idx="2">
                  <c:v>Store B</c:v>
                </c:pt>
                <c:pt idx="3">
                  <c:v>Store C</c:v>
                </c:pt>
                <c:pt idx="4">
                  <c:v>Store D</c:v>
                </c:pt>
                <c:pt idx="5">
                  <c:v>Store E</c:v>
                </c:pt>
              </c:strCache>
            </c:strRef>
          </c:cat>
          <c:val>
            <c:numRef>
              <c:f>'rev by month'!$B$19:$B$25</c:f>
              <c:numCache>
                <c:formatCode>"£"#,##0</c:formatCode>
                <c:ptCount val="6"/>
                <c:pt idx="0">
                  <c:v>322006</c:v>
                </c:pt>
                <c:pt idx="1">
                  <c:v>332856</c:v>
                </c:pt>
                <c:pt idx="2">
                  <c:v>322562</c:v>
                </c:pt>
                <c:pt idx="3">
                  <c:v>302259</c:v>
                </c:pt>
                <c:pt idx="4">
                  <c:v>294565</c:v>
                </c:pt>
                <c:pt idx="5">
                  <c:v>295975</c:v>
                </c:pt>
              </c:numCache>
            </c:numRef>
          </c:val>
          <c:extLst>
            <c:ext xmlns:c16="http://schemas.microsoft.com/office/drawing/2014/chart" uri="{C3380CC4-5D6E-409C-BE32-E72D297353CC}">
              <c16:uniqueId val="{00000000-315D-4A9B-9029-423F5DBA0215}"/>
            </c:ext>
          </c:extLst>
        </c:ser>
        <c:dLbls>
          <c:showLegendKey val="0"/>
          <c:showVal val="0"/>
          <c:showCatName val="0"/>
          <c:showSerName val="0"/>
          <c:showPercent val="0"/>
          <c:showBubbleSize val="0"/>
        </c:dLbls>
        <c:gapWidth val="219"/>
        <c:overlap val="-27"/>
        <c:axId val="1507593408"/>
        <c:axId val="1507590048"/>
      </c:barChart>
      <c:catAx>
        <c:axId val="150759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590048"/>
        <c:crosses val="autoZero"/>
        <c:auto val="1"/>
        <c:lblAlgn val="ctr"/>
        <c:lblOffset val="100"/>
        <c:noMultiLvlLbl val="0"/>
      </c:catAx>
      <c:valAx>
        <c:axId val="1507590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59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[ALDI_Working_sheet.xlsx]rev by product!rev by product</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 by product'!$B$3</c:f>
              <c:strCache>
                <c:ptCount val="1"/>
                <c:pt idx="0">
                  <c:v>Total</c:v>
                </c:pt>
              </c:strCache>
            </c:strRef>
          </c:tx>
          <c:spPr>
            <a:solidFill>
              <a:schemeClr val="accent1"/>
            </a:solidFill>
            <a:ln>
              <a:noFill/>
            </a:ln>
            <a:effectLst/>
          </c:spPr>
          <c:invertIfNegative val="0"/>
          <c:cat>
            <c:strRef>
              <c:f>'rev by product'!$A$4:$A$14</c:f>
              <c:strCache>
                <c:ptCount val="10"/>
                <c:pt idx="0">
                  <c:v>Tablet</c:v>
                </c:pt>
                <c:pt idx="1">
                  <c:v>Phone</c:v>
                </c:pt>
                <c:pt idx="2">
                  <c:v>Monitor</c:v>
                </c:pt>
                <c:pt idx="3">
                  <c:v>Laptop</c:v>
                </c:pt>
                <c:pt idx="4">
                  <c:v>Smartwatch</c:v>
                </c:pt>
                <c:pt idx="5">
                  <c:v>Speaker</c:v>
                </c:pt>
                <c:pt idx="6">
                  <c:v>Printer</c:v>
                </c:pt>
                <c:pt idx="7">
                  <c:v>Keyboard</c:v>
                </c:pt>
                <c:pt idx="8">
                  <c:v>Headphones</c:v>
                </c:pt>
                <c:pt idx="9">
                  <c:v>Camera</c:v>
                </c:pt>
              </c:strCache>
            </c:strRef>
          </c:cat>
          <c:val>
            <c:numRef>
              <c:f>'rev by product'!$B$4:$B$14</c:f>
              <c:numCache>
                <c:formatCode>General</c:formatCode>
                <c:ptCount val="10"/>
                <c:pt idx="0">
                  <c:v>211770</c:v>
                </c:pt>
                <c:pt idx="1">
                  <c:v>209422</c:v>
                </c:pt>
                <c:pt idx="2">
                  <c:v>208467</c:v>
                </c:pt>
                <c:pt idx="3">
                  <c:v>202513</c:v>
                </c:pt>
                <c:pt idx="4">
                  <c:v>188171</c:v>
                </c:pt>
                <c:pt idx="5">
                  <c:v>181056</c:v>
                </c:pt>
                <c:pt idx="6">
                  <c:v>180838</c:v>
                </c:pt>
                <c:pt idx="7">
                  <c:v>176476</c:v>
                </c:pt>
                <c:pt idx="8">
                  <c:v>159079</c:v>
                </c:pt>
                <c:pt idx="9">
                  <c:v>152431</c:v>
                </c:pt>
              </c:numCache>
            </c:numRef>
          </c:val>
          <c:extLst>
            <c:ext xmlns:c16="http://schemas.microsoft.com/office/drawing/2014/chart" uri="{C3380CC4-5D6E-409C-BE32-E72D297353CC}">
              <c16:uniqueId val="{00000000-00F5-484F-9429-51193F2E4845}"/>
            </c:ext>
          </c:extLst>
        </c:ser>
        <c:dLbls>
          <c:showLegendKey val="0"/>
          <c:showVal val="0"/>
          <c:showCatName val="0"/>
          <c:showSerName val="0"/>
          <c:showPercent val="0"/>
          <c:showBubbleSize val="0"/>
        </c:dLbls>
        <c:gapWidth val="219"/>
        <c:overlap val="-27"/>
        <c:axId val="1458933520"/>
        <c:axId val="1458918160"/>
      </c:barChart>
      <c:catAx>
        <c:axId val="145893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918160"/>
        <c:crosses val="autoZero"/>
        <c:auto val="1"/>
        <c:lblAlgn val="ctr"/>
        <c:lblOffset val="100"/>
        <c:noMultiLvlLbl val="0"/>
      </c:catAx>
      <c:valAx>
        <c:axId val="1458918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93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[ALDI_Working_sheet.xlsx]rev by product!days by qty sold</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 by product'!$B$19</c:f>
              <c:strCache>
                <c:ptCount val="1"/>
                <c:pt idx="0">
                  <c:v>Total</c:v>
                </c:pt>
              </c:strCache>
            </c:strRef>
          </c:tx>
          <c:spPr>
            <a:solidFill>
              <a:schemeClr val="accent1"/>
            </a:solidFill>
            <a:ln>
              <a:noFill/>
            </a:ln>
            <a:effectLst/>
          </c:spPr>
          <c:invertIfNegative val="0"/>
          <c:cat>
            <c:strRef>
              <c:f>'rev by product'!$A$20:$A$27</c:f>
              <c:strCache>
                <c:ptCount val="7"/>
                <c:pt idx="0">
                  <c:v>Monday</c:v>
                </c:pt>
                <c:pt idx="1">
                  <c:v>Tuesday</c:v>
                </c:pt>
                <c:pt idx="2">
                  <c:v>Wednesday</c:v>
                </c:pt>
                <c:pt idx="3">
                  <c:v>Thursday</c:v>
                </c:pt>
                <c:pt idx="4">
                  <c:v>Friday</c:v>
                </c:pt>
                <c:pt idx="5">
                  <c:v>Saturday</c:v>
                </c:pt>
                <c:pt idx="6">
                  <c:v>Sunday</c:v>
                </c:pt>
              </c:strCache>
            </c:strRef>
          </c:cat>
          <c:val>
            <c:numRef>
              <c:f>'rev by product'!$B$20:$B$27</c:f>
              <c:numCache>
                <c:formatCode>General</c:formatCode>
                <c:ptCount val="7"/>
                <c:pt idx="0">
                  <c:v>535</c:v>
                </c:pt>
                <c:pt idx="1">
                  <c:v>587</c:v>
                </c:pt>
                <c:pt idx="2">
                  <c:v>475</c:v>
                </c:pt>
                <c:pt idx="3">
                  <c:v>504</c:v>
                </c:pt>
                <c:pt idx="4">
                  <c:v>532</c:v>
                </c:pt>
                <c:pt idx="5">
                  <c:v>391</c:v>
                </c:pt>
                <c:pt idx="6">
                  <c:v>473</c:v>
                </c:pt>
              </c:numCache>
            </c:numRef>
          </c:val>
          <c:extLst>
            <c:ext xmlns:c16="http://schemas.microsoft.com/office/drawing/2014/chart" uri="{C3380CC4-5D6E-409C-BE32-E72D297353CC}">
              <c16:uniqueId val="{00000000-2D37-429C-AD52-64AD6B4F8A3E}"/>
            </c:ext>
          </c:extLst>
        </c:ser>
        <c:dLbls>
          <c:showLegendKey val="0"/>
          <c:showVal val="0"/>
          <c:showCatName val="0"/>
          <c:showSerName val="0"/>
          <c:showPercent val="0"/>
          <c:showBubbleSize val="0"/>
        </c:dLbls>
        <c:gapWidth val="219"/>
        <c:overlap val="-27"/>
        <c:axId val="1507698528"/>
        <c:axId val="1507707168"/>
      </c:barChart>
      <c:catAx>
        <c:axId val="1507698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707168"/>
        <c:crosses val="autoZero"/>
        <c:auto val="1"/>
        <c:lblAlgn val="ctr"/>
        <c:lblOffset val="100"/>
        <c:noMultiLvlLbl val="0"/>
      </c:catAx>
      <c:valAx>
        <c:axId val="150770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69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[ALDI_Working_sheet.xlsx]rev by product!rev by product</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 by product'!$B$3</c:f>
              <c:strCache>
                <c:ptCount val="1"/>
                <c:pt idx="0">
                  <c:v>Total</c:v>
                </c:pt>
              </c:strCache>
            </c:strRef>
          </c:tx>
          <c:spPr>
            <a:solidFill>
              <a:schemeClr val="accent2"/>
            </a:solidFill>
            <a:ln>
              <a:noFill/>
            </a:ln>
            <a:effectLst>
              <a:softEdge rad="0"/>
            </a:effectLst>
          </c:spPr>
          <c:invertIfNegative val="0"/>
          <c:cat>
            <c:strRef>
              <c:f>'rev by product'!$A$4:$A$14</c:f>
              <c:strCache>
                <c:ptCount val="10"/>
                <c:pt idx="0">
                  <c:v>Tablet</c:v>
                </c:pt>
                <c:pt idx="1">
                  <c:v>Phone</c:v>
                </c:pt>
                <c:pt idx="2">
                  <c:v>Monitor</c:v>
                </c:pt>
                <c:pt idx="3">
                  <c:v>Laptop</c:v>
                </c:pt>
                <c:pt idx="4">
                  <c:v>Smartwatch</c:v>
                </c:pt>
                <c:pt idx="5">
                  <c:v>Speaker</c:v>
                </c:pt>
                <c:pt idx="6">
                  <c:v>Printer</c:v>
                </c:pt>
                <c:pt idx="7">
                  <c:v>Keyboard</c:v>
                </c:pt>
                <c:pt idx="8">
                  <c:v>Headphones</c:v>
                </c:pt>
                <c:pt idx="9">
                  <c:v>Camera</c:v>
                </c:pt>
              </c:strCache>
            </c:strRef>
          </c:cat>
          <c:val>
            <c:numRef>
              <c:f>'rev by product'!$B$4:$B$14</c:f>
              <c:numCache>
                <c:formatCode>General</c:formatCode>
                <c:ptCount val="10"/>
                <c:pt idx="0">
                  <c:v>211770</c:v>
                </c:pt>
                <c:pt idx="1">
                  <c:v>209422</c:v>
                </c:pt>
                <c:pt idx="2">
                  <c:v>208467</c:v>
                </c:pt>
                <c:pt idx="3">
                  <c:v>202513</c:v>
                </c:pt>
                <c:pt idx="4">
                  <c:v>188171</c:v>
                </c:pt>
                <c:pt idx="5">
                  <c:v>181056</c:v>
                </c:pt>
                <c:pt idx="6">
                  <c:v>180838</c:v>
                </c:pt>
                <c:pt idx="7">
                  <c:v>176476</c:v>
                </c:pt>
                <c:pt idx="8">
                  <c:v>159079</c:v>
                </c:pt>
                <c:pt idx="9">
                  <c:v>152431</c:v>
                </c:pt>
              </c:numCache>
            </c:numRef>
          </c:val>
          <c:extLst>
            <c:ext xmlns:c16="http://schemas.microsoft.com/office/drawing/2014/chart" uri="{C3380CC4-5D6E-409C-BE32-E72D297353CC}">
              <c16:uniqueId val="{00000000-9FF8-4600-B4F5-65B653CFC3AD}"/>
            </c:ext>
          </c:extLst>
        </c:ser>
        <c:dLbls>
          <c:showLegendKey val="0"/>
          <c:showVal val="0"/>
          <c:showCatName val="0"/>
          <c:showSerName val="0"/>
          <c:showPercent val="0"/>
          <c:showBubbleSize val="0"/>
        </c:dLbls>
        <c:gapWidth val="25"/>
        <c:axId val="1458933520"/>
        <c:axId val="1458918160"/>
      </c:barChart>
      <c:catAx>
        <c:axId val="1458933520"/>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1458918160"/>
        <c:crosses val="autoZero"/>
        <c:auto val="1"/>
        <c:lblAlgn val="ctr"/>
        <c:lblOffset val="100"/>
        <c:noMultiLvlLbl val="0"/>
      </c:catAx>
      <c:valAx>
        <c:axId val="1458918160"/>
        <c:scaling>
          <c:orientation val="minMax"/>
        </c:scaling>
        <c:delete val="1"/>
        <c:axPos val="t"/>
        <c:numFmt formatCode="General" sourceLinked="1"/>
        <c:majorTickMark val="out"/>
        <c:minorTickMark val="none"/>
        <c:tickLblPos val="nextTo"/>
        <c:crossAx val="145893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[ALDI_Working_sheet.xlsx]rev by month!PivotTable2month by revenue</c:name>
    <c:fmtId val="6"/>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2"/>
            </a:solidFill>
            <a:round/>
          </a:ln>
          <a:effectLst/>
        </c:spPr>
        <c:marker>
          <c:symbol val="circle"/>
          <c:size val="4"/>
          <c:spPr>
            <a:solidFill>
              <a:schemeClr val="accent2"/>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2"/>
            </a:solidFill>
            <a:round/>
          </a:ln>
          <a:effectLst/>
        </c:spPr>
        <c:marker>
          <c:symbol val="circle"/>
          <c:size val="4"/>
          <c:spPr>
            <a:solidFill>
              <a:schemeClr val="accent2"/>
            </a:solidFill>
            <a:ln w="9525" cap="flat" cmpd="sng" algn="ctr">
              <a:noFill/>
              <a:round/>
            </a:ln>
            <a:effectLst/>
          </c:spPr>
        </c:marker>
      </c:pivotFmt>
    </c:pivotFmts>
    <c:plotArea>
      <c:layout/>
      <c:lineChart>
        <c:grouping val="standard"/>
        <c:varyColors val="0"/>
        <c:ser>
          <c:idx val="0"/>
          <c:order val="0"/>
          <c:tx>
            <c:strRef>
              <c:f>'rev by month'!$B$3</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no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'rev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'rev by month'!$B$4:$B$16</c:f>
              <c:numCache>
                <c:formatCode>"£"#,##0</c:formatCode>
                <c:ptCount val="12"/>
                <c:pt idx="0">
                  <c:v>138906</c:v>
                </c:pt>
                <c:pt idx="1">
                  <c:v>156213</c:v>
                </c:pt>
                <c:pt idx="2">
                  <c:v>173446</c:v>
                </c:pt>
                <c:pt idx="3">
                  <c:v>128994</c:v>
                </c:pt>
                <c:pt idx="4">
                  <c:v>182697</c:v>
                </c:pt>
                <c:pt idx="5">
                  <c:v>180932</c:v>
                </c:pt>
                <c:pt idx="6">
                  <c:v>158675</c:v>
                </c:pt>
                <c:pt idx="7">
                  <c:v>131156</c:v>
                </c:pt>
                <c:pt idx="8">
                  <c:v>157979</c:v>
                </c:pt>
                <c:pt idx="9">
                  <c:v>142798</c:v>
                </c:pt>
                <c:pt idx="10">
                  <c:v>159742</c:v>
                </c:pt>
                <c:pt idx="11">
                  <c:v>158685</c:v>
                </c:pt>
              </c:numCache>
            </c:numRef>
          </c:val>
          <c:smooth val="0"/>
          <c:extLst>
            <c:ext xmlns:c16="http://schemas.microsoft.com/office/drawing/2014/chart" uri="{C3380CC4-5D6E-409C-BE32-E72D297353CC}">
              <c16:uniqueId val="{00000000-652E-4E4D-9F3D-3AB4EC958D2A}"/>
            </c:ext>
          </c:extLst>
        </c:ser>
        <c:dLbls>
          <c:dLblPos val="t"/>
          <c:showLegendKey val="0"/>
          <c:showVal val="1"/>
          <c:showCatName val="0"/>
          <c:showSerName val="0"/>
          <c:showPercent val="0"/>
          <c:showBubbleSize val="0"/>
        </c:dLbls>
        <c:dropLines>
          <c:spPr>
            <a:ln w="9525" cap="flat" cmpd="sng" algn="ctr">
              <a:solidFill>
                <a:schemeClr val="bg2">
                  <a:lumMod val="50000"/>
                  <a:alpha val="33000"/>
                </a:schemeClr>
              </a:solidFill>
              <a:round/>
            </a:ln>
            <a:effectLst/>
          </c:spPr>
        </c:dropLines>
        <c:marker val="1"/>
        <c:smooth val="0"/>
        <c:axId val="1458916240"/>
        <c:axId val="1458910480"/>
      </c:lineChart>
      <c:catAx>
        <c:axId val="14589162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000" b="0" i="0" u="none" strike="noStrike" kern="1200" spc="20" baseline="0">
                <a:solidFill>
                  <a:schemeClr val="tx1">
                    <a:lumMod val="75000"/>
                    <a:lumOff val="25000"/>
                  </a:schemeClr>
                </a:solidFill>
                <a:latin typeface="+mj-lt"/>
                <a:ea typeface="+mn-ea"/>
                <a:cs typeface="Times New Roman" panose="02020603050405020304" pitchFamily="18" charset="0"/>
              </a:defRPr>
            </a:pPr>
            <a:endParaRPr lang="en-US"/>
          </a:p>
        </c:txPr>
        <c:crossAx val="1458910480"/>
        <c:crosses val="autoZero"/>
        <c:auto val="1"/>
        <c:lblAlgn val="ctr"/>
        <c:lblOffset val="100"/>
        <c:noMultiLvlLbl val="0"/>
      </c:catAx>
      <c:valAx>
        <c:axId val="1458910480"/>
        <c:scaling>
          <c:orientation val="minMax"/>
        </c:scaling>
        <c:delete val="1"/>
        <c:axPos val="l"/>
        <c:numFmt formatCode="&quot;£&quot;#,##0" sourceLinked="1"/>
        <c:majorTickMark val="none"/>
        <c:minorTickMark val="none"/>
        <c:tickLblPos val="nextTo"/>
        <c:crossAx val="145891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[ALDI_Working_sheet.xlsx]rev by product!days by qty sold</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spc="20" baseline="0">
                  <a:solidFill>
                    <a:schemeClr val="tx1"/>
                  </a:solidFill>
                  <a:latin typeface="+mj-lt"/>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 by product'!$B$19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spc="20" baseline="0">
                    <a:solidFill>
                      <a:schemeClr val="tx1"/>
                    </a:solidFill>
                    <a:latin typeface="+mj-lt"/>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 by product'!$A$20:$A$27</c:f>
              <c:strCache>
                <c:ptCount val="7"/>
                <c:pt idx="0">
                  <c:v>Monday</c:v>
                </c:pt>
                <c:pt idx="1">
                  <c:v>Tuesday</c:v>
                </c:pt>
                <c:pt idx="2">
                  <c:v>Wednesday</c:v>
                </c:pt>
                <c:pt idx="3">
                  <c:v>Thursday</c:v>
                </c:pt>
                <c:pt idx="4">
                  <c:v>Friday</c:v>
                </c:pt>
                <c:pt idx="5">
                  <c:v>Saturday</c:v>
                </c:pt>
                <c:pt idx="6">
                  <c:v>Sunday</c:v>
                </c:pt>
              </c:strCache>
            </c:strRef>
          </c:cat>
          <c:val>
            <c:numRef>
              <c:f>'rev by product'!$B$20:$B$27</c:f>
              <c:numCache>
                <c:formatCode>General</c:formatCode>
                <c:ptCount val="7"/>
                <c:pt idx="0">
                  <c:v>535</c:v>
                </c:pt>
                <c:pt idx="1">
                  <c:v>587</c:v>
                </c:pt>
                <c:pt idx="2">
                  <c:v>475</c:v>
                </c:pt>
                <c:pt idx="3">
                  <c:v>504</c:v>
                </c:pt>
                <c:pt idx="4">
                  <c:v>532</c:v>
                </c:pt>
                <c:pt idx="5">
                  <c:v>391</c:v>
                </c:pt>
                <c:pt idx="6">
                  <c:v>473</c:v>
                </c:pt>
              </c:numCache>
            </c:numRef>
          </c:val>
          <c:extLst>
            <c:ext xmlns:c16="http://schemas.microsoft.com/office/drawing/2014/chart" uri="{C3380CC4-5D6E-409C-BE32-E72D297353CC}">
              <c16:uniqueId val="{00000000-DC42-41B5-ACEB-35AED82A49A3}"/>
            </c:ext>
          </c:extLst>
        </c:ser>
        <c:dLbls>
          <c:dLblPos val="outEnd"/>
          <c:showLegendKey val="0"/>
          <c:showVal val="1"/>
          <c:showCatName val="0"/>
          <c:showSerName val="0"/>
          <c:showPercent val="0"/>
          <c:showBubbleSize val="0"/>
        </c:dLbls>
        <c:gapWidth val="30"/>
        <c:overlap val="-27"/>
        <c:axId val="1507698528"/>
        <c:axId val="1507707168"/>
      </c:barChart>
      <c:catAx>
        <c:axId val="150769852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000" b="0" i="0" u="none" strike="noStrike" kern="1200" spc="20" baseline="0">
                <a:solidFill>
                  <a:schemeClr val="tx1">
                    <a:lumMod val="75000"/>
                    <a:lumOff val="25000"/>
                  </a:schemeClr>
                </a:solidFill>
                <a:latin typeface="+mj-lt"/>
                <a:ea typeface="+mn-ea"/>
                <a:cs typeface="Times New Roman" panose="02020603050405020304" pitchFamily="18" charset="0"/>
              </a:defRPr>
            </a:pPr>
            <a:endParaRPr lang="en-US"/>
          </a:p>
        </c:txPr>
        <c:crossAx val="1507707168"/>
        <c:crosses val="autoZero"/>
        <c:auto val="1"/>
        <c:lblAlgn val="ctr"/>
        <c:lblOffset val="100"/>
        <c:noMultiLvlLbl val="0"/>
      </c:catAx>
      <c:valAx>
        <c:axId val="1507707168"/>
        <c:scaling>
          <c:orientation val="minMax"/>
        </c:scaling>
        <c:delete val="1"/>
        <c:axPos val="l"/>
        <c:numFmt formatCode="General" sourceLinked="1"/>
        <c:majorTickMark val="out"/>
        <c:minorTickMark val="none"/>
        <c:tickLblPos val="nextTo"/>
        <c:crossAx val="150769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[ALDI_Working_sheet.xlsx]rev by month!store by revenue</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 by month'!$B$18</c:f>
              <c:strCache>
                <c:ptCount val="1"/>
                <c:pt idx="0">
                  <c:v>Total</c:v>
                </c:pt>
              </c:strCache>
            </c:strRef>
          </c:tx>
          <c:spPr>
            <a:solidFill>
              <a:schemeClr val="accent2"/>
            </a:solidFill>
            <a:ln>
              <a:noFill/>
            </a:ln>
            <a:effectLst/>
          </c:spPr>
          <c:invertIfNegative val="0"/>
          <c:cat>
            <c:strRef>
              <c:f>'rev by month'!$A$19:$A$25</c:f>
              <c:strCache>
                <c:ptCount val="6"/>
                <c:pt idx="0">
                  <c:v>Online</c:v>
                </c:pt>
                <c:pt idx="1">
                  <c:v>Store A</c:v>
                </c:pt>
                <c:pt idx="2">
                  <c:v>Store B</c:v>
                </c:pt>
                <c:pt idx="3">
                  <c:v>Store C</c:v>
                </c:pt>
                <c:pt idx="4">
                  <c:v>Store D</c:v>
                </c:pt>
                <c:pt idx="5">
                  <c:v>Store E</c:v>
                </c:pt>
              </c:strCache>
            </c:strRef>
          </c:cat>
          <c:val>
            <c:numRef>
              <c:f>'rev by month'!$B$19:$B$25</c:f>
              <c:numCache>
                <c:formatCode>"£"#,##0</c:formatCode>
                <c:ptCount val="6"/>
                <c:pt idx="0">
                  <c:v>322006</c:v>
                </c:pt>
                <c:pt idx="1">
                  <c:v>332856</c:v>
                </c:pt>
                <c:pt idx="2">
                  <c:v>322562</c:v>
                </c:pt>
                <c:pt idx="3">
                  <c:v>302259</c:v>
                </c:pt>
                <c:pt idx="4">
                  <c:v>294565</c:v>
                </c:pt>
                <c:pt idx="5">
                  <c:v>295975</c:v>
                </c:pt>
              </c:numCache>
            </c:numRef>
          </c:val>
          <c:extLst>
            <c:ext xmlns:c16="http://schemas.microsoft.com/office/drawing/2014/chart" uri="{C3380CC4-5D6E-409C-BE32-E72D297353CC}">
              <c16:uniqueId val="{00000000-2959-43B0-B7B2-CE119E16C1B7}"/>
            </c:ext>
          </c:extLst>
        </c:ser>
        <c:dLbls>
          <c:showLegendKey val="0"/>
          <c:showVal val="0"/>
          <c:showCatName val="0"/>
          <c:showSerName val="0"/>
          <c:showPercent val="0"/>
          <c:showBubbleSize val="0"/>
        </c:dLbls>
        <c:gapWidth val="30"/>
        <c:overlap val="-27"/>
        <c:axId val="1507593408"/>
        <c:axId val="1507590048"/>
      </c:barChart>
      <c:catAx>
        <c:axId val="150759340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000" b="0" i="0" u="none" strike="noStrike" kern="1200" spc="20" baseline="0">
                <a:solidFill>
                  <a:schemeClr val="tx1">
                    <a:lumMod val="75000"/>
                    <a:lumOff val="25000"/>
                  </a:schemeClr>
                </a:solidFill>
                <a:latin typeface="+mj-lt"/>
                <a:ea typeface="+mn-ea"/>
                <a:cs typeface="Times New Roman" panose="02020603050405020304" pitchFamily="18" charset="0"/>
              </a:defRPr>
            </a:pPr>
            <a:endParaRPr lang="en-US"/>
          </a:p>
        </c:txPr>
        <c:crossAx val="1507590048"/>
        <c:crosses val="autoZero"/>
        <c:auto val="1"/>
        <c:lblAlgn val="ctr"/>
        <c:lblOffset val="100"/>
        <c:noMultiLvlLbl val="0"/>
      </c:catAx>
      <c:valAx>
        <c:axId val="1507590048"/>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spc="20" baseline="0">
                <a:solidFill>
                  <a:schemeClr val="tx1"/>
                </a:solidFill>
                <a:latin typeface="+mj-lt"/>
                <a:ea typeface="+mn-ea"/>
                <a:cs typeface="Times New Roman" panose="02020603050405020304" pitchFamily="18" charset="0"/>
              </a:defRPr>
            </a:pPr>
            <a:endParaRPr lang="en-US"/>
          </a:p>
        </c:txPr>
        <c:crossAx val="150759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image" Target="../media/image2.emf"/><Relationship Id="rId2" Type="http://schemas.openxmlformats.org/officeDocument/2006/relationships/hyperlink" Target="https://en.wikipedia.org/wiki/Aldi" TargetMode="External"/><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251460</xdr:colOff>
      <xdr:row>1</xdr:row>
      <xdr:rowOff>152400</xdr:rowOff>
    </xdr:from>
    <xdr:to>
      <xdr:col>10</xdr:col>
      <xdr:colOff>579120</xdr:colOff>
      <xdr:row>15</xdr:row>
      <xdr:rowOff>15240</xdr:rowOff>
    </xdr:to>
    <xdr:graphicFrame macro="">
      <xdr:nvGraphicFramePr>
        <xdr:cNvPr id="2" name="Chart 1">
          <a:extLst>
            <a:ext uri="{FF2B5EF4-FFF2-40B4-BE49-F238E27FC236}">
              <a16:creationId xmlns:a16="http://schemas.microsoft.com/office/drawing/2014/main" id="{280F4AAB-3AB3-1E1B-D39A-279DD8CB9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15</xdr:row>
      <xdr:rowOff>121920</xdr:rowOff>
    </xdr:from>
    <xdr:to>
      <xdr:col>9</xdr:col>
      <xdr:colOff>411480</xdr:colOff>
      <xdr:row>28</xdr:row>
      <xdr:rowOff>99060</xdr:rowOff>
    </xdr:to>
    <xdr:graphicFrame macro="">
      <xdr:nvGraphicFramePr>
        <xdr:cNvPr id="3" name="Chart 2">
          <a:extLst>
            <a:ext uri="{FF2B5EF4-FFF2-40B4-BE49-F238E27FC236}">
              <a16:creationId xmlns:a16="http://schemas.microsoft.com/office/drawing/2014/main" id="{8D80D2EE-5958-01AD-B70C-1B7D940CD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220980</xdr:colOff>
      <xdr:row>1</xdr:row>
      <xdr:rowOff>137160</xdr:rowOff>
    </xdr:from>
    <xdr:to>
      <xdr:col>9</xdr:col>
      <xdr:colOff>525780</xdr:colOff>
      <xdr:row>14</xdr:row>
      <xdr:rowOff>160020</xdr:rowOff>
    </xdr:to>
    <xdr:graphicFrame macro="">
      <xdr:nvGraphicFramePr>
        <xdr:cNvPr id="3" name="Chart 2">
          <a:extLst>
            <a:ext uri="{FF2B5EF4-FFF2-40B4-BE49-F238E27FC236}">
              <a16:creationId xmlns:a16="http://schemas.microsoft.com/office/drawing/2014/main" id="{D679C24B-35FA-3349-02C6-84776A0C4F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281940</xdr:colOff>
      <xdr:row>14</xdr:row>
      <xdr:rowOff>160020</xdr:rowOff>
    </xdr:from>
    <xdr:to>
      <xdr:col>9</xdr:col>
      <xdr:colOff>586740</xdr:colOff>
      <xdr:row>29</xdr:row>
      <xdr:rowOff>160020</xdr:rowOff>
    </xdr:to>
    <xdr:graphicFrame macro="">
      <xdr:nvGraphicFramePr>
        <xdr:cNvPr id="4" name="Chart 3">
          <a:extLst>
            <a:ext uri="{FF2B5EF4-FFF2-40B4-BE49-F238E27FC236}">
              <a16:creationId xmlns:a16="http://schemas.microsoft.com/office/drawing/2014/main" id="{65C764FA-1AA6-2DF6-F96C-E2193D40BB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461882</xdr:colOff>
      <xdr:row>18</xdr:row>
      <xdr:rowOff>128532</xdr:rowOff>
    </xdr:from>
    <xdr:to>
      <xdr:col>9</xdr:col>
      <xdr:colOff>560025</xdr:colOff>
      <xdr:row>35</xdr:row>
      <xdr:rowOff>119350</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A09AF206-94E5-E829-8F25-BFBBFEF9AAA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970316" y="3433592"/>
              <a:ext cx="2338239" cy="31122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30388</xdr:colOff>
      <xdr:row>16</xdr:row>
      <xdr:rowOff>9181</xdr:rowOff>
    </xdr:from>
    <xdr:to>
      <xdr:col>5</xdr:col>
      <xdr:colOff>335188</xdr:colOff>
      <xdr:row>36</xdr:row>
      <xdr:rowOff>55085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350F70F7-C0F1-B91B-AE72-E38CE17135C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252822" y="2947012"/>
              <a:ext cx="1828800" cy="37181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38100</xdr:colOff>
      <xdr:row>41</xdr:row>
      <xdr:rowOff>57149</xdr:rowOff>
    </xdr:to>
    <xdr:sp macro="" textlink="">
      <xdr:nvSpPr>
        <xdr:cNvPr id="3" name="Rectangle 2">
          <a:extLst>
            <a:ext uri="{FF2B5EF4-FFF2-40B4-BE49-F238E27FC236}">
              <a16:creationId xmlns:a16="http://schemas.microsoft.com/office/drawing/2014/main" id="{87F86F8A-C043-A81B-BE24-9BCE88652B7F}"/>
            </a:ext>
          </a:extLst>
        </xdr:cNvPr>
        <xdr:cNvSpPr/>
      </xdr:nvSpPr>
      <xdr:spPr>
        <a:xfrm>
          <a:off x="0" y="0"/>
          <a:ext cx="15786100" cy="7667380"/>
        </a:xfrm>
        <a:prstGeom prst="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solidFill>
              <a:schemeClr val="accent4">
                <a:lumMod val="50000"/>
              </a:schemeClr>
            </a:solidFill>
          </a:endParaRPr>
        </a:p>
      </xdr:txBody>
    </xdr:sp>
    <xdr:clientData/>
  </xdr:twoCellAnchor>
  <xdr:twoCellAnchor>
    <xdr:from>
      <xdr:col>2</xdr:col>
      <xdr:colOff>522382</xdr:colOff>
      <xdr:row>3</xdr:row>
      <xdr:rowOff>14977</xdr:rowOff>
    </xdr:from>
    <xdr:to>
      <xdr:col>7</xdr:col>
      <xdr:colOff>121921</xdr:colOff>
      <xdr:row>9</xdr:row>
      <xdr:rowOff>115975</xdr:rowOff>
    </xdr:to>
    <xdr:sp macro="" textlink="">
      <xdr:nvSpPr>
        <xdr:cNvPr id="73" name="Rectangle: Rounded Corners 3">
          <a:extLst>
            <a:ext uri="{FF2B5EF4-FFF2-40B4-BE49-F238E27FC236}">
              <a16:creationId xmlns:a16="http://schemas.microsoft.com/office/drawing/2014/main" id="{3A8CAA48-3A9A-345B-E3FA-92FC12F008D7}"/>
            </a:ext>
          </a:extLst>
        </xdr:cNvPr>
        <xdr:cNvSpPr/>
      </xdr:nvSpPr>
      <xdr:spPr>
        <a:xfrm>
          <a:off x="1733767" y="571823"/>
          <a:ext cx="2628000" cy="1214690"/>
        </a:xfrm>
        <a:prstGeom prst="roundRect">
          <a:avLst>
            <a:gd name="adj" fmla="val 7431"/>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solidFill>
              <a:schemeClr val="accent4">
                <a:lumMod val="50000"/>
              </a:schemeClr>
            </a:solidFill>
          </a:endParaRPr>
        </a:p>
      </xdr:txBody>
    </xdr:sp>
    <xdr:clientData/>
  </xdr:twoCellAnchor>
  <xdr:twoCellAnchor>
    <xdr:from>
      <xdr:col>0</xdr:col>
      <xdr:colOff>197036</xdr:colOff>
      <xdr:row>10</xdr:row>
      <xdr:rowOff>82384</xdr:rowOff>
    </xdr:from>
    <xdr:to>
      <xdr:col>13</xdr:col>
      <xdr:colOff>323642</xdr:colOff>
      <xdr:row>24</xdr:row>
      <xdr:rowOff>142354</xdr:rowOff>
    </xdr:to>
    <xdr:sp macro="" textlink="">
      <xdr:nvSpPr>
        <xdr:cNvPr id="5" name="Rectangle: Rounded Corners 4">
          <a:extLst>
            <a:ext uri="{FF2B5EF4-FFF2-40B4-BE49-F238E27FC236}">
              <a16:creationId xmlns:a16="http://schemas.microsoft.com/office/drawing/2014/main" id="{014C6C6B-3DBF-A2F1-8B2B-2EBF0090C0DB}"/>
            </a:ext>
          </a:extLst>
        </xdr:cNvPr>
        <xdr:cNvSpPr/>
      </xdr:nvSpPr>
      <xdr:spPr>
        <a:xfrm>
          <a:off x="197036" y="1938538"/>
          <a:ext cx="8000606" cy="2658585"/>
        </a:xfrm>
        <a:prstGeom prst="roundRect">
          <a:avLst>
            <a:gd name="adj" fmla="val 4507"/>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solidFill>
              <a:schemeClr val="accent4">
                <a:lumMod val="50000"/>
              </a:schemeClr>
            </a:solidFill>
          </a:endParaRPr>
        </a:p>
      </xdr:txBody>
    </xdr:sp>
    <xdr:clientData/>
  </xdr:twoCellAnchor>
  <xdr:twoCellAnchor>
    <xdr:from>
      <xdr:col>13</xdr:col>
      <xdr:colOff>451365</xdr:colOff>
      <xdr:row>10</xdr:row>
      <xdr:rowOff>82384</xdr:rowOff>
    </xdr:from>
    <xdr:to>
      <xdr:col>20</xdr:col>
      <xdr:colOff>586379</xdr:colOff>
      <xdr:row>24</xdr:row>
      <xdr:rowOff>132432</xdr:rowOff>
    </xdr:to>
    <xdr:sp macro="" textlink="">
      <xdr:nvSpPr>
        <xdr:cNvPr id="6" name="Rectangle: Rounded Corners 5">
          <a:extLst>
            <a:ext uri="{FF2B5EF4-FFF2-40B4-BE49-F238E27FC236}">
              <a16:creationId xmlns:a16="http://schemas.microsoft.com/office/drawing/2014/main" id="{DC55127E-B5D8-4FB6-BF8F-5323485C26E7}"/>
            </a:ext>
          </a:extLst>
        </xdr:cNvPr>
        <xdr:cNvSpPr/>
      </xdr:nvSpPr>
      <xdr:spPr>
        <a:xfrm>
          <a:off x="8325365" y="1938538"/>
          <a:ext cx="4374860" cy="2648663"/>
        </a:xfrm>
        <a:prstGeom prst="roundRect">
          <a:avLst>
            <a:gd name="adj" fmla="val 3900"/>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solidFill>
              <a:schemeClr val="accent4">
                <a:lumMod val="50000"/>
              </a:schemeClr>
            </a:solidFill>
          </a:endParaRPr>
        </a:p>
      </xdr:txBody>
    </xdr:sp>
    <xdr:clientData/>
  </xdr:twoCellAnchor>
  <xdr:twoCellAnchor>
    <xdr:from>
      <xdr:col>10</xdr:col>
      <xdr:colOff>90378</xdr:colOff>
      <xdr:row>25</xdr:row>
      <xdr:rowOff>94337</xdr:rowOff>
    </xdr:from>
    <xdr:to>
      <xdr:col>20</xdr:col>
      <xdr:colOff>597470</xdr:colOff>
      <xdr:row>38</xdr:row>
      <xdr:rowOff>120646</xdr:rowOff>
    </xdr:to>
    <xdr:sp macro="" textlink="">
      <xdr:nvSpPr>
        <xdr:cNvPr id="7" name="Rectangle: Rounded Corners 6">
          <a:extLst>
            <a:ext uri="{FF2B5EF4-FFF2-40B4-BE49-F238E27FC236}">
              <a16:creationId xmlns:a16="http://schemas.microsoft.com/office/drawing/2014/main" id="{9AB38F22-A7A4-5397-DB6F-E69D42509CF4}"/>
            </a:ext>
          </a:extLst>
        </xdr:cNvPr>
        <xdr:cNvSpPr/>
      </xdr:nvSpPr>
      <xdr:spPr>
        <a:xfrm>
          <a:off x="6147301" y="4734722"/>
          <a:ext cx="6564015" cy="2439309"/>
        </a:xfrm>
        <a:prstGeom prst="roundRect">
          <a:avLst>
            <a:gd name="adj" fmla="val 3052"/>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solidFill>
              <a:schemeClr val="accent4">
                <a:lumMod val="50000"/>
              </a:schemeClr>
            </a:solidFill>
          </a:endParaRPr>
        </a:p>
      </xdr:txBody>
    </xdr:sp>
    <xdr:clientData/>
  </xdr:twoCellAnchor>
  <xdr:twoCellAnchor>
    <xdr:from>
      <xdr:col>0</xdr:col>
      <xdr:colOff>197035</xdr:colOff>
      <xdr:row>25</xdr:row>
      <xdr:rowOff>74492</xdr:rowOff>
    </xdr:from>
    <xdr:to>
      <xdr:col>5</xdr:col>
      <xdr:colOff>98011</xdr:colOff>
      <xdr:row>38</xdr:row>
      <xdr:rowOff>120646</xdr:rowOff>
    </xdr:to>
    <xdr:sp macro="" textlink="">
      <xdr:nvSpPr>
        <xdr:cNvPr id="8" name="Rectangle: Rounded Corners 7">
          <a:extLst>
            <a:ext uri="{FF2B5EF4-FFF2-40B4-BE49-F238E27FC236}">
              <a16:creationId xmlns:a16="http://schemas.microsoft.com/office/drawing/2014/main" id="{B9B495C4-5E89-5986-BFB3-99B9A616BA49}"/>
            </a:ext>
          </a:extLst>
        </xdr:cNvPr>
        <xdr:cNvSpPr/>
      </xdr:nvSpPr>
      <xdr:spPr>
        <a:xfrm>
          <a:off x="197035" y="4714877"/>
          <a:ext cx="2929438" cy="2459154"/>
        </a:xfrm>
        <a:prstGeom prst="roundRect">
          <a:avLst>
            <a:gd name="adj" fmla="val 5304"/>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solidFill>
              <a:schemeClr val="accent4">
                <a:lumMod val="50000"/>
              </a:schemeClr>
            </a:solidFill>
          </a:endParaRPr>
        </a:p>
      </xdr:txBody>
    </xdr:sp>
    <xdr:clientData/>
  </xdr:twoCellAnchor>
  <xdr:twoCellAnchor>
    <xdr:from>
      <xdr:col>5</xdr:col>
      <xdr:colOff>229198</xdr:colOff>
      <xdr:row>25</xdr:row>
      <xdr:rowOff>84415</xdr:rowOff>
    </xdr:from>
    <xdr:to>
      <xdr:col>9</xdr:col>
      <xdr:colOff>564882</xdr:colOff>
      <xdr:row>38</xdr:row>
      <xdr:rowOff>120647</xdr:rowOff>
    </xdr:to>
    <xdr:sp macro="" textlink="">
      <xdr:nvSpPr>
        <xdr:cNvPr id="9" name="Rectangle: Rounded Corners 8">
          <a:extLst>
            <a:ext uri="{FF2B5EF4-FFF2-40B4-BE49-F238E27FC236}">
              <a16:creationId xmlns:a16="http://schemas.microsoft.com/office/drawing/2014/main" id="{4A5ED2EE-A392-CA49-6A06-AC60B8128B05}"/>
            </a:ext>
          </a:extLst>
        </xdr:cNvPr>
        <xdr:cNvSpPr/>
      </xdr:nvSpPr>
      <xdr:spPr>
        <a:xfrm>
          <a:off x="3257660" y="4724800"/>
          <a:ext cx="2758453" cy="2449232"/>
        </a:xfrm>
        <a:prstGeom prst="roundRect">
          <a:avLst>
            <a:gd name="adj" fmla="val 5304"/>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solidFill>
              <a:schemeClr val="accent4">
                <a:lumMod val="50000"/>
              </a:schemeClr>
            </a:solidFill>
          </a:endParaRPr>
        </a:p>
      </xdr:txBody>
    </xdr:sp>
    <xdr:clientData/>
  </xdr:twoCellAnchor>
  <xdr:twoCellAnchor>
    <xdr:from>
      <xdr:col>7</xdr:col>
      <xdr:colOff>277274</xdr:colOff>
      <xdr:row>3</xdr:row>
      <xdr:rowOff>14977</xdr:rowOff>
    </xdr:from>
    <xdr:to>
      <xdr:col>11</xdr:col>
      <xdr:colOff>482505</xdr:colOff>
      <xdr:row>9</xdr:row>
      <xdr:rowOff>115975</xdr:rowOff>
    </xdr:to>
    <xdr:sp macro="" textlink="">
      <xdr:nvSpPr>
        <xdr:cNvPr id="74" name="Rectangle: Rounded Corners 9">
          <a:extLst>
            <a:ext uri="{FF2B5EF4-FFF2-40B4-BE49-F238E27FC236}">
              <a16:creationId xmlns:a16="http://schemas.microsoft.com/office/drawing/2014/main" id="{92DE9F89-6D4D-857E-6F3E-2B648258F272}"/>
            </a:ext>
          </a:extLst>
        </xdr:cNvPr>
        <xdr:cNvSpPr/>
      </xdr:nvSpPr>
      <xdr:spPr>
        <a:xfrm>
          <a:off x="4517120" y="571823"/>
          <a:ext cx="2628000" cy="1214690"/>
        </a:xfrm>
        <a:prstGeom prst="roundRect">
          <a:avLst>
            <a:gd name="adj" fmla="val 7431"/>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solidFill>
              <a:schemeClr val="accent4">
                <a:lumMod val="50000"/>
              </a:schemeClr>
            </a:solidFill>
          </a:endParaRPr>
        </a:p>
      </xdr:txBody>
    </xdr:sp>
    <xdr:clientData/>
  </xdr:twoCellAnchor>
  <xdr:twoCellAnchor>
    <xdr:from>
      <xdr:col>12</xdr:col>
      <xdr:colOff>32165</xdr:colOff>
      <xdr:row>3</xdr:row>
      <xdr:rowOff>14977</xdr:rowOff>
    </xdr:from>
    <xdr:to>
      <xdr:col>16</xdr:col>
      <xdr:colOff>237396</xdr:colOff>
      <xdr:row>9</xdr:row>
      <xdr:rowOff>115975</xdr:rowOff>
    </xdr:to>
    <xdr:sp macro="" textlink="">
      <xdr:nvSpPr>
        <xdr:cNvPr id="75" name="Rectangle: Rounded Corners 10">
          <a:extLst>
            <a:ext uri="{FF2B5EF4-FFF2-40B4-BE49-F238E27FC236}">
              <a16:creationId xmlns:a16="http://schemas.microsoft.com/office/drawing/2014/main" id="{345E5DDD-77C0-18ED-94BC-C38937E3465F}"/>
            </a:ext>
          </a:extLst>
        </xdr:cNvPr>
        <xdr:cNvSpPr/>
      </xdr:nvSpPr>
      <xdr:spPr>
        <a:xfrm>
          <a:off x="7300473" y="571823"/>
          <a:ext cx="2628000" cy="1214690"/>
        </a:xfrm>
        <a:prstGeom prst="roundRect">
          <a:avLst>
            <a:gd name="adj" fmla="val 7431"/>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solidFill>
              <a:schemeClr val="accent4">
                <a:lumMod val="50000"/>
              </a:schemeClr>
            </a:solidFill>
          </a:endParaRPr>
        </a:p>
      </xdr:txBody>
    </xdr:sp>
    <xdr:clientData/>
  </xdr:twoCellAnchor>
  <xdr:twoCellAnchor>
    <xdr:from>
      <xdr:col>16</xdr:col>
      <xdr:colOff>392750</xdr:colOff>
      <xdr:row>3</xdr:row>
      <xdr:rowOff>14977</xdr:rowOff>
    </xdr:from>
    <xdr:to>
      <xdr:col>20</xdr:col>
      <xdr:colOff>597981</xdr:colOff>
      <xdr:row>9</xdr:row>
      <xdr:rowOff>115975</xdr:rowOff>
    </xdr:to>
    <xdr:sp macro="" textlink="">
      <xdr:nvSpPr>
        <xdr:cNvPr id="76" name="Rectangle: Rounded Corners 11">
          <a:extLst>
            <a:ext uri="{FF2B5EF4-FFF2-40B4-BE49-F238E27FC236}">
              <a16:creationId xmlns:a16="http://schemas.microsoft.com/office/drawing/2014/main" id="{D2528FCA-9F91-B7EE-8978-5C9217FBA0AB}"/>
            </a:ext>
          </a:extLst>
        </xdr:cNvPr>
        <xdr:cNvSpPr/>
      </xdr:nvSpPr>
      <xdr:spPr>
        <a:xfrm>
          <a:off x="10083827" y="571823"/>
          <a:ext cx="2628000" cy="1214690"/>
        </a:xfrm>
        <a:prstGeom prst="roundRect">
          <a:avLst>
            <a:gd name="adj" fmla="val 7431"/>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solidFill>
              <a:schemeClr val="accent4">
                <a:lumMod val="50000"/>
              </a:schemeClr>
            </a:solidFill>
          </a:endParaRPr>
        </a:p>
      </xdr:txBody>
    </xdr:sp>
    <xdr:clientData/>
  </xdr:twoCellAnchor>
  <xdr:twoCellAnchor>
    <xdr:from>
      <xdr:col>0</xdr:col>
      <xdr:colOff>197036</xdr:colOff>
      <xdr:row>0</xdr:row>
      <xdr:rowOff>158761</xdr:rowOff>
    </xdr:from>
    <xdr:to>
      <xdr:col>2</xdr:col>
      <xdr:colOff>345812</xdr:colOff>
      <xdr:row>9</xdr:row>
      <xdr:rowOff>150245</xdr:rowOff>
    </xdr:to>
    <xdr:pic>
      <xdr:nvPicPr>
        <xdr:cNvPr id="14" name="Picture 13" descr="A blue and orange sign with white text&#10;&#10;AI-generated content may be incorrect.">
          <a:extLst>
            <a:ext uri="{FF2B5EF4-FFF2-40B4-BE49-F238E27FC236}">
              <a16:creationId xmlns:a16="http://schemas.microsoft.com/office/drawing/2014/main" id="{FAD74E85-BE00-462F-C01D-4AFF663139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97036" y="158761"/>
          <a:ext cx="1360161" cy="1662022"/>
        </a:xfrm>
        <a:prstGeom prst="rect">
          <a:avLst/>
        </a:prstGeom>
        <a:solidFill>
          <a:schemeClr val="lt1"/>
        </a:solidFill>
        <a:ln w="9525" cmpd="sng">
          <a:solidFill>
            <a:schemeClr val="lt1">
              <a:shade val="50000"/>
            </a:schemeClr>
          </a:solidFill>
        </a:ln>
      </xdr:spPr>
    </xdr:pic>
    <xdr:clientData/>
  </xdr:twoCellAnchor>
  <xdr:twoCellAnchor>
    <xdr:from>
      <xdr:col>2</xdr:col>
      <xdr:colOff>484080</xdr:colOff>
      <xdr:row>0</xdr:row>
      <xdr:rowOff>48847</xdr:rowOff>
    </xdr:from>
    <xdr:to>
      <xdr:col>20</xdr:col>
      <xdr:colOff>127001</xdr:colOff>
      <xdr:row>3</xdr:row>
      <xdr:rowOff>53950</xdr:rowOff>
    </xdr:to>
    <xdr:sp macro="" textlink="">
      <xdr:nvSpPr>
        <xdr:cNvPr id="15" name="TextBox 21">
          <a:extLst>
            <a:ext uri="{FF2B5EF4-FFF2-40B4-BE49-F238E27FC236}">
              <a16:creationId xmlns:a16="http://schemas.microsoft.com/office/drawing/2014/main" id="{BC35AC76-08FD-622A-288D-005F528972D0}"/>
            </a:ext>
          </a:extLst>
        </xdr:cNvPr>
        <xdr:cNvSpPr txBox="1"/>
      </xdr:nvSpPr>
      <xdr:spPr>
        <a:xfrm>
          <a:off x="1695465" y="48847"/>
          <a:ext cx="10545382" cy="561949"/>
        </a:xfrm>
        <a:prstGeom prst="rect">
          <a:avLst/>
        </a:prstGeom>
        <a:noFill/>
        <a:ln>
          <a:no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GB" sz="3000" b="1" cap="none" spc="0">
              <a:ln w="0"/>
              <a:solidFill>
                <a:schemeClr val="bg1">
                  <a:lumMod val="75000"/>
                </a:schemeClr>
              </a:solidFill>
              <a:effectLst>
                <a:outerShdw blurRad="38100" dist="19050" dir="2700000" algn="tl" rotWithShape="0">
                  <a:schemeClr val="dk1">
                    <a:alpha val="40000"/>
                  </a:schemeClr>
                </a:outerShdw>
              </a:effectLst>
              <a:latin typeface="+mj-lt"/>
            </a:rPr>
            <a:t>Sales Performance Dashboard</a:t>
          </a:r>
        </a:p>
      </xdr:txBody>
    </xdr:sp>
    <xdr:clientData/>
  </xdr:twoCellAnchor>
  <xdr:twoCellAnchor>
    <xdr:from>
      <xdr:col>3</xdr:col>
      <xdr:colOff>88783</xdr:colOff>
      <xdr:row>5</xdr:row>
      <xdr:rowOff>161808</xdr:rowOff>
    </xdr:from>
    <xdr:to>
      <xdr:col>6</xdr:col>
      <xdr:colOff>576439</xdr:colOff>
      <xdr:row>9</xdr:row>
      <xdr:rowOff>161808</xdr:rowOff>
    </xdr:to>
    <xdr:sp macro="" textlink="">
      <xdr:nvSpPr>
        <xdr:cNvPr id="26" name="TextBox 25">
          <a:extLst>
            <a:ext uri="{FF2B5EF4-FFF2-40B4-BE49-F238E27FC236}">
              <a16:creationId xmlns:a16="http://schemas.microsoft.com/office/drawing/2014/main" id="{5099A5AE-3BB7-98DF-3B39-653B6DAB79FC}"/>
            </a:ext>
          </a:extLst>
        </xdr:cNvPr>
        <xdr:cNvSpPr txBox="1"/>
      </xdr:nvSpPr>
      <xdr:spPr>
        <a:xfrm>
          <a:off x="1923227" y="1055512"/>
          <a:ext cx="2322101" cy="714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i="0" u="none" strike="noStrike">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£1,870,223</a:t>
          </a:r>
          <a:r>
            <a:rPr lang="en-GB" sz="2800" b="1">
              <a:effectLst/>
              <a:latin typeface="Segoe UI Semibold" panose="020B0702040204020203" pitchFamily="34" charset="0"/>
              <a:ea typeface="Segoe UI Black" panose="020B0A02040204020203" pitchFamily="34" charset="0"/>
              <a:cs typeface="Segoe UI Semibold" panose="020B0702040204020203" pitchFamily="34" charset="0"/>
            </a:rPr>
            <a:t> </a:t>
          </a:r>
          <a:endParaRPr lang="en-GB" sz="28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60090</xdr:colOff>
      <xdr:row>6</xdr:row>
      <xdr:rowOff>2614</xdr:rowOff>
    </xdr:from>
    <xdr:to>
      <xdr:col>11</xdr:col>
      <xdr:colOff>50565</xdr:colOff>
      <xdr:row>9</xdr:row>
      <xdr:rowOff>33839</xdr:rowOff>
    </xdr:to>
    <xdr:sp macro="" textlink="">
      <xdr:nvSpPr>
        <xdr:cNvPr id="27" name="TextBox 26">
          <a:extLst>
            <a:ext uri="{FF2B5EF4-FFF2-40B4-BE49-F238E27FC236}">
              <a16:creationId xmlns:a16="http://schemas.microsoft.com/office/drawing/2014/main" id="{4F6BE979-3EC9-2717-B9E3-39B2C8A44D76}"/>
            </a:ext>
          </a:extLst>
        </xdr:cNvPr>
        <xdr:cNvSpPr txBox="1"/>
      </xdr:nvSpPr>
      <xdr:spPr>
        <a:xfrm>
          <a:off x="4951942" y="1075058"/>
          <a:ext cx="1824919" cy="567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0" i="0" u="none" strike="noStrike">
              <a:solidFill>
                <a:schemeClr val="dk1"/>
              </a:solidFill>
              <a:effectLst/>
              <a:latin typeface="Segoe UI Semibold" panose="020B0702040204020203" pitchFamily="34" charset="0"/>
              <a:ea typeface="+mn-ea"/>
              <a:cs typeface="Segoe UI Semibold" panose="020B0702040204020203" pitchFamily="34" charset="0"/>
            </a:rPr>
            <a:t>3,497</a:t>
          </a:r>
          <a:r>
            <a:rPr lang="en-GB" sz="2800">
              <a:effectLst/>
              <a:latin typeface="Segoe UI Semibold" panose="020B0702040204020203" pitchFamily="34" charset="0"/>
              <a:cs typeface="Segoe UI Semibold" panose="020B0702040204020203" pitchFamily="34" charset="0"/>
            </a:rPr>
            <a:t> </a:t>
          </a:r>
          <a:endParaRPr lang="en-GB" sz="2800">
            <a:latin typeface="Segoe UI Semibold" panose="020B0702040204020203" pitchFamily="34" charset="0"/>
            <a:cs typeface="Segoe UI Semibold" panose="020B0702040204020203" pitchFamily="34" charset="0"/>
          </a:endParaRPr>
        </a:p>
      </xdr:txBody>
    </xdr:sp>
    <xdr:clientData/>
  </xdr:twoCellAnchor>
  <xdr:twoCellAnchor>
    <xdr:from>
      <xdr:col>12</xdr:col>
      <xdr:colOff>407223</xdr:colOff>
      <xdr:row>5</xdr:row>
      <xdr:rowOff>161808</xdr:rowOff>
    </xdr:from>
    <xdr:to>
      <xdr:col>15</xdr:col>
      <xdr:colOff>292923</xdr:colOff>
      <xdr:row>8</xdr:row>
      <xdr:rowOff>114183</xdr:rowOff>
    </xdr:to>
    <xdr:sp macro="" textlink="">
      <xdr:nvSpPr>
        <xdr:cNvPr id="28" name="TextBox 27">
          <a:extLst>
            <a:ext uri="{FF2B5EF4-FFF2-40B4-BE49-F238E27FC236}">
              <a16:creationId xmlns:a16="http://schemas.microsoft.com/office/drawing/2014/main" id="{723E1047-4B85-73E0-88FE-438F96D047A7}"/>
            </a:ext>
          </a:extLst>
        </xdr:cNvPr>
        <xdr:cNvSpPr txBox="1"/>
      </xdr:nvSpPr>
      <xdr:spPr>
        <a:xfrm>
          <a:off x="7745001" y="1055512"/>
          <a:ext cx="1720144" cy="488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0" i="0" u="none" strike="noStrike">
              <a:solidFill>
                <a:schemeClr val="dk1"/>
              </a:solidFill>
              <a:effectLst/>
              <a:latin typeface="Segoe UI Semibold" panose="020B0702040204020203" pitchFamily="34" charset="0"/>
              <a:ea typeface="+mn-ea"/>
              <a:cs typeface="Segoe UI Semibold" panose="020B0702040204020203" pitchFamily="34" charset="0"/>
            </a:rPr>
            <a:t>£1,870.22</a:t>
          </a:r>
          <a:r>
            <a:rPr lang="en-GB" sz="2800">
              <a:effectLst/>
              <a:latin typeface="Segoe UI Semibold" panose="020B0702040204020203" pitchFamily="34" charset="0"/>
              <a:cs typeface="Segoe UI Semibold" panose="020B0702040204020203" pitchFamily="34" charset="0"/>
            </a:rPr>
            <a:t> </a:t>
          </a:r>
          <a:endParaRPr lang="en-GB" sz="2800">
            <a:latin typeface="Segoe UI Semibold" panose="020B0702040204020203" pitchFamily="34" charset="0"/>
            <a:cs typeface="Segoe UI Semibold" panose="020B0702040204020203" pitchFamily="34" charset="0"/>
          </a:endParaRPr>
        </a:p>
      </xdr:txBody>
    </xdr:sp>
    <xdr:clientData/>
  </xdr:twoCellAnchor>
  <xdr:twoCellAnchor>
    <xdr:from>
      <xdr:col>13</xdr:col>
      <xdr:colOff>527539</xdr:colOff>
      <xdr:row>11</xdr:row>
      <xdr:rowOff>107462</xdr:rowOff>
    </xdr:from>
    <xdr:to>
      <xdr:col>20</xdr:col>
      <xdr:colOff>398097</xdr:colOff>
      <xdr:row>24</xdr:row>
      <xdr:rowOff>185371</xdr:rowOff>
    </xdr:to>
    <xdr:graphicFrame macro="">
      <xdr:nvGraphicFramePr>
        <xdr:cNvPr id="30" name="Chart 29">
          <a:extLst>
            <a:ext uri="{FF2B5EF4-FFF2-40B4-BE49-F238E27FC236}">
              <a16:creationId xmlns:a16="http://schemas.microsoft.com/office/drawing/2014/main" id="{64638FE1-17C0-4F5E-8127-AD54257B8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273539</xdr:colOff>
      <xdr:row>12</xdr:row>
      <xdr:rowOff>68384</xdr:rowOff>
    </xdr:from>
    <xdr:to>
      <xdr:col>13</xdr:col>
      <xdr:colOff>182685</xdr:colOff>
      <xdr:row>24</xdr:row>
      <xdr:rowOff>70484</xdr:rowOff>
    </xdr:to>
    <xdr:graphicFrame macro="">
      <xdr:nvGraphicFramePr>
        <xdr:cNvPr id="31" name="Chart 30">
          <a:extLst>
            <a:ext uri="{FF2B5EF4-FFF2-40B4-BE49-F238E27FC236}">
              <a16:creationId xmlns:a16="http://schemas.microsoft.com/office/drawing/2014/main" id="{EB615FF9-9ED0-4169-828D-94BA084BF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244230</xdr:colOff>
      <xdr:row>27</xdr:row>
      <xdr:rowOff>9770</xdr:rowOff>
    </xdr:from>
    <xdr:to>
      <xdr:col>9</xdr:col>
      <xdr:colOff>542924</xdr:colOff>
      <xdr:row>38</xdr:row>
      <xdr:rowOff>107217</xdr:rowOff>
    </xdr:to>
    <xdr:graphicFrame macro="">
      <xdr:nvGraphicFramePr>
        <xdr:cNvPr id="32" name="Chart 31">
          <a:extLst>
            <a:ext uri="{FF2B5EF4-FFF2-40B4-BE49-F238E27FC236}">
              <a16:creationId xmlns:a16="http://schemas.microsoft.com/office/drawing/2014/main" id="{E07A868B-4636-4E49-B795-539B1666A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247162</xdr:colOff>
      <xdr:row>26</xdr:row>
      <xdr:rowOff>145805</xdr:rowOff>
    </xdr:from>
    <xdr:to>
      <xdr:col>5</xdr:col>
      <xdr:colOff>9037</xdr:colOff>
      <xdr:row>38</xdr:row>
      <xdr:rowOff>126756</xdr:rowOff>
    </xdr:to>
    <xdr:graphicFrame macro="">
      <xdr:nvGraphicFramePr>
        <xdr:cNvPr id="33" name="Chart 32">
          <a:extLst>
            <a:ext uri="{FF2B5EF4-FFF2-40B4-BE49-F238E27FC236}">
              <a16:creationId xmlns:a16="http://schemas.microsoft.com/office/drawing/2014/main" id="{0D5F9ED7-D65C-4B70-B310-222928554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158878</xdr:colOff>
      <xdr:row>26</xdr:row>
      <xdr:rowOff>152400</xdr:rowOff>
    </xdr:from>
    <xdr:to>
      <xdr:col>20</xdr:col>
      <xdr:colOff>360257</xdr:colOff>
      <xdr:row>38</xdr:row>
      <xdr:rowOff>55245</xdr:rowOff>
    </xdr:to>
    <xdr:pic>
      <xdr:nvPicPr>
        <xdr:cNvPr id="38" name="Picture 37">
          <a:extLst>
            <a:ext uri="{FF2B5EF4-FFF2-40B4-BE49-F238E27FC236}">
              <a16:creationId xmlns:a16="http://schemas.microsoft.com/office/drawing/2014/main" id="{E2CAEB35-EBA7-0532-72B3-053B3C8E74C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254878" y="4857750"/>
          <a:ext cx="6297379" cy="2074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317383</xdr:colOff>
      <xdr:row>3</xdr:row>
      <xdr:rowOff>156555</xdr:rowOff>
    </xdr:from>
    <xdr:to>
      <xdr:col>6</xdr:col>
      <xdr:colOff>317382</xdr:colOff>
      <xdr:row>5</xdr:row>
      <xdr:rowOff>108931</xdr:rowOff>
    </xdr:to>
    <xdr:sp macro="" textlink="">
      <xdr:nvSpPr>
        <xdr:cNvPr id="39" name="TextBox 38">
          <a:extLst>
            <a:ext uri="{FF2B5EF4-FFF2-40B4-BE49-F238E27FC236}">
              <a16:creationId xmlns:a16="http://schemas.microsoft.com/office/drawing/2014/main" id="{AC58DEE4-062C-2A04-83B3-5F7C7E9F3122}"/>
            </a:ext>
          </a:extLst>
        </xdr:cNvPr>
        <xdr:cNvSpPr txBox="1"/>
      </xdr:nvSpPr>
      <xdr:spPr>
        <a:xfrm>
          <a:off x="2151827" y="692777"/>
          <a:ext cx="1834444" cy="309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700" b="0" cap="none" spc="0">
              <a:ln w="0"/>
              <a:solidFill>
                <a:schemeClr val="tx1">
                  <a:lumMod val="75000"/>
                  <a:lumOff val="2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Revenue</a:t>
          </a:r>
        </a:p>
      </xdr:txBody>
    </xdr:sp>
    <xdr:clientData/>
  </xdr:twoCellAnchor>
  <xdr:twoCellAnchor>
    <xdr:from>
      <xdr:col>8</xdr:col>
      <xdr:colOff>60560</xdr:colOff>
      <xdr:row>3</xdr:row>
      <xdr:rowOff>156555</xdr:rowOff>
    </xdr:from>
    <xdr:to>
      <xdr:col>11</xdr:col>
      <xdr:colOff>60560</xdr:colOff>
      <xdr:row>5</xdr:row>
      <xdr:rowOff>108931</xdr:rowOff>
    </xdr:to>
    <xdr:sp macro="" textlink="">
      <xdr:nvSpPr>
        <xdr:cNvPr id="16" name="TextBox 15">
          <a:extLst>
            <a:ext uri="{FF2B5EF4-FFF2-40B4-BE49-F238E27FC236}">
              <a16:creationId xmlns:a16="http://schemas.microsoft.com/office/drawing/2014/main" id="{E35A2797-EF1F-4751-BF21-879BFF9AFE24}"/>
            </a:ext>
          </a:extLst>
        </xdr:cNvPr>
        <xdr:cNvSpPr txBox="1"/>
      </xdr:nvSpPr>
      <xdr:spPr>
        <a:xfrm>
          <a:off x="4952412" y="692777"/>
          <a:ext cx="1834444" cy="309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700" b="0" cap="none" spc="0">
              <a:ln w="0"/>
              <a:solidFill>
                <a:schemeClr val="tx1">
                  <a:lumMod val="75000"/>
                  <a:lumOff val="2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a:t>
          </a:r>
          <a:r>
            <a:rPr lang="en-GB" sz="1700" b="0" cap="none" spc="0" baseline="0">
              <a:ln w="0"/>
              <a:solidFill>
                <a:schemeClr val="tx1">
                  <a:lumMod val="75000"/>
                  <a:lumOff val="2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Units Sold</a:t>
          </a:r>
          <a:endParaRPr lang="en-GB" sz="1700" b="0" cap="none" spc="0">
            <a:ln w="0"/>
            <a:solidFill>
              <a:schemeClr val="tx1">
                <a:lumMod val="75000"/>
                <a:lumOff val="2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12</xdr:col>
      <xdr:colOff>387702</xdr:colOff>
      <xdr:row>3</xdr:row>
      <xdr:rowOff>156555</xdr:rowOff>
    </xdr:from>
    <xdr:to>
      <xdr:col>15</xdr:col>
      <xdr:colOff>387702</xdr:colOff>
      <xdr:row>5</xdr:row>
      <xdr:rowOff>108931</xdr:rowOff>
    </xdr:to>
    <xdr:sp macro="" textlink="">
      <xdr:nvSpPr>
        <xdr:cNvPr id="17" name="TextBox 16">
          <a:extLst>
            <a:ext uri="{FF2B5EF4-FFF2-40B4-BE49-F238E27FC236}">
              <a16:creationId xmlns:a16="http://schemas.microsoft.com/office/drawing/2014/main" id="{63ABAA87-F61F-4F10-A64D-A1CE9B6F5DDC}"/>
            </a:ext>
          </a:extLst>
        </xdr:cNvPr>
        <xdr:cNvSpPr txBox="1"/>
      </xdr:nvSpPr>
      <xdr:spPr>
        <a:xfrm>
          <a:off x="7725480" y="692777"/>
          <a:ext cx="1834444" cy="309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700" b="0" cap="none" spc="0">
              <a:ln w="0"/>
              <a:solidFill>
                <a:schemeClr val="tx1">
                  <a:lumMod val="75000"/>
                  <a:lumOff val="2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Avg</a:t>
          </a:r>
          <a:r>
            <a:rPr lang="en-GB" sz="1700" b="0" cap="none" spc="0" baseline="0">
              <a:ln w="0"/>
              <a:solidFill>
                <a:schemeClr val="tx1">
                  <a:lumMod val="75000"/>
                  <a:lumOff val="2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Revenue </a:t>
          </a:r>
          <a:endParaRPr lang="en-GB" sz="1700" b="0" cap="none" spc="0">
            <a:ln w="0"/>
            <a:solidFill>
              <a:schemeClr val="tx1">
                <a:lumMod val="75000"/>
                <a:lumOff val="2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16</xdr:col>
      <xdr:colOff>415193</xdr:colOff>
      <xdr:row>3</xdr:row>
      <xdr:rowOff>156555</xdr:rowOff>
    </xdr:from>
    <xdr:to>
      <xdr:col>20</xdr:col>
      <xdr:colOff>420078</xdr:colOff>
      <xdr:row>5</xdr:row>
      <xdr:rowOff>108931</xdr:rowOff>
    </xdr:to>
    <xdr:sp macro="" textlink="">
      <xdr:nvSpPr>
        <xdr:cNvPr id="77" name="TextBox 18">
          <a:extLst>
            <a:ext uri="{FF2B5EF4-FFF2-40B4-BE49-F238E27FC236}">
              <a16:creationId xmlns:a16="http://schemas.microsoft.com/office/drawing/2014/main" id="{0E79D576-F438-4941-9466-B2EAE841041F}"/>
            </a:ext>
          </a:extLst>
        </xdr:cNvPr>
        <xdr:cNvSpPr txBox="1"/>
      </xdr:nvSpPr>
      <xdr:spPr>
        <a:xfrm>
          <a:off x="10198897" y="692777"/>
          <a:ext cx="2450811" cy="309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700" b="0" cap="none" spc="0">
              <a:ln w="0"/>
              <a:solidFill>
                <a:schemeClr val="tx1">
                  <a:lumMod val="75000"/>
                  <a:lumOff val="2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Avg Units</a:t>
          </a:r>
          <a:r>
            <a:rPr lang="en-GB" sz="1700" b="0" cap="none" spc="0" baseline="0">
              <a:ln w="0"/>
              <a:solidFill>
                <a:schemeClr val="tx1">
                  <a:lumMod val="75000"/>
                  <a:lumOff val="2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Sold</a:t>
          </a:r>
          <a:endParaRPr lang="en-GB" sz="1700" b="0" cap="none" spc="0">
            <a:ln w="0"/>
            <a:solidFill>
              <a:schemeClr val="tx1">
                <a:lumMod val="75000"/>
                <a:lumOff val="2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21</xdr:col>
      <xdr:colOff>387097</xdr:colOff>
      <xdr:row>10</xdr:row>
      <xdr:rowOff>145317</xdr:rowOff>
    </xdr:from>
    <xdr:to>
      <xdr:col>25</xdr:col>
      <xdr:colOff>425196</xdr:colOff>
      <xdr:row>20</xdr:row>
      <xdr:rowOff>97690</xdr:rowOff>
    </xdr:to>
    <mc:AlternateContent xmlns:mc="http://schemas.openxmlformats.org/markup-compatibility/2006" xmlns:a14="http://schemas.microsoft.com/office/drawing/2010/main">
      <mc:Choice Requires="a14">
        <xdr:graphicFrame macro="">
          <xdr:nvGraphicFramePr>
            <xdr:cNvPr id="20" name="Month 1">
              <a:extLst>
                <a:ext uri="{FF2B5EF4-FFF2-40B4-BE49-F238E27FC236}">
                  <a16:creationId xmlns:a16="http://schemas.microsoft.com/office/drawing/2014/main" id="{8134370E-EC37-4E3D-8E61-C4EC948E0F7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106635" y="2001471"/>
              <a:ext cx="2460869" cy="18085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381001</xdr:colOff>
      <xdr:row>22</xdr:row>
      <xdr:rowOff>162415</xdr:rowOff>
    </xdr:from>
    <xdr:to>
      <xdr:col>25</xdr:col>
      <xdr:colOff>417878</xdr:colOff>
      <xdr:row>38</xdr:row>
      <xdr:rowOff>87924</xdr:rowOff>
    </xdr:to>
    <mc:AlternateContent xmlns:mc="http://schemas.openxmlformats.org/markup-compatibility/2006" xmlns:a14="http://schemas.microsoft.com/office/drawing/2010/main">
      <mc:Choice Requires="a14">
        <xdr:graphicFrame macro="">
          <xdr:nvGraphicFramePr>
            <xdr:cNvPr id="21" name="Product 1">
              <a:extLst>
                <a:ext uri="{FF2B5EF4-FFF2-40B4-BE49-F238E27FC236}">
                  <a16:creationId xmlns:a16="http://schemas.microsoft.com/office/drawing/2014/main" id="{A888B8FA-4712-41B2-9079-8E6A8208432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3100539" y="4245953"/>
              <a:ext cx="2459647" cy="28953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371230</xdr:colOff>
      <xdr:row>5</xdr:row>
      <xdr:rowOff>0</xdr:rowOff>
    </xdr:from>
    <xdr:to>
      <xdr:col>24</xdr:col>
      <xdr:colOff>244231</xdr:colOff>
      <xdr:row>7</xdr:row>
      <xdr:rowOff>97692</xdr:rowOff>
    </xdr:to>
    <xdr:sp macro="" textlink="">
      <xdr:nvSpPr>
        <xdr:cNvPr id="23" name="TextBox 22">
          <a:extLst>
            <a:ext uri="{FF2B5EF4-FFF2-40B4-BE49-F238E27FC236}">
              <a16:creationId xmlns:a16="http://schemas.microsoft.com/office/drawing/2014/main" id="{CF1D9172-5A89-BC54-2C8D-D281105617F9}"/>
            </a:ext>
          </a:extLst>
        </xdr:cNvPr>
        <xdr:cNvSpPr txBox="1"/>
      </xdr:nvSpPr>
      <xdr:spPr>
        <a:xfrm>
          <a:off x="13696461" y="928077"/>
          <a:ext cx="1084385" cy="468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accent4">
                  <a:lumMod val="40000"/>
                  <a:lumOff val="60000"/>
                </a:schemeClr>
              </a:solidFill>
              <a:latin typeface="Times New Roman" panose="02020603050405020304" pitchFamily="18" charset="0"/>
              <a:cs typeface="Times New Roman" panose="02020603050405020304" pitchFamily="18" charset="0"/>
            </a:rPr>
            <a:t>Slicers</a:t>
          </a:r>
        </a:p>
      </xdr:txBody>
    </xdr:sp>
    <xdr:clientData/>
  </xdr:twoCellAnchor>
  <xdr:twoCellAnchor>
    <xdr:from>
      <xdr:col>21</xdr:col>
      <xdr:colOff>357554</xdr:colOff>
      <xdr:row>9</xdr:row>
      <xdr:rowOff>15631</xdr:rowOff>
    </xdr:from>
    <xdr:to>
      <xdr:col>23</xdr:col>
      <xdr:colOff>230554</xdr:colOff>
      <xdr:row>11</xdr:row>
      <xdr:rowOff>113323</xdr:rowOff>
    </xdr:to>
    <xdr:sp macro="" textlink="">
      <xdr:nvSpPr>
        <xdr:cNvPr id="24" name="TextBox 23">
          <a:extLst>
            <a:ext uri="{FF2B5EF4-FFF2-40B4-BE49-F238E27FC236}">
              <a16:creationId xmlns:a16="http://schemas.microsoft.com/office/drawing/2014/main" id="{FE0DAF3F-164D-4DEF-8261-1B3F5C1237A1}"/>
            </a:ext>
          </a:extLst>
        </xdr:cNvPr>
        <xdr:cNvSpPr txBox="1"/>
      </xdr:nvSpPr>
      <xdr:spPr>
        <a:xfrm>
          <a:off x="13077092" y="1686169"/>
          <a:ext cx="1084385" cy="468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bg1">
                  <a:lumMod val="75000"/>
                </a:schemeClr>
              </a:solidFill>
              <a:latin typeface="Times New Roman" panose="02020603050405020304" pitchFamily="18" charset="0"/>
              <a:cs typeface="Times New Roman" panose="02020603050405020304" pitchFamily="18" charset="0"/>
            </a:rPr>
            <a:t>Month</a:t>
          </a:r>
        </a:p>
      </xdr:txBody>
    </xdr:sp>
    <xdr:clientData/>
  </xdr:twoCellAnchor>
  <xdr:twoCellAnchor>
    <xdr:from>
      <xdr:col>21</xdr:col>
      <xdr:colOff>314570</xdr:colOff>
      <xdr:row>21</xdr:row>
      <xdr:rowOff>31261</xdr:rowOff>
    </xdr:from>
    <xdr:to>
      <xdr:col>23</xdr:col>
      <xdr:colOff>187570</xdr:colOff>
      <xdr:row>23</xdr:row>
      <xdr:rowOff>128953</xdr:rowOff>
    </xdr:to>
    <xdr:sp macro="" textlink="">
      <xdr:nvSpPr>
        <xdr:cNvPr id="25" name="TextBox 24">
          <a:extLst>
            <a:ext uri="{FF2B5EF4-FFF2-40B4-BE49-F238E27FC236}">
              <a16:creationId xmlns:a16="http://schemas.microsoft.com/office/drawing/2014/main" id="{D5F23A2A-34D8-4D56-A8E9-6284A8AFB026}"/>
            </a:ext>
          </a:extLst>
        </xdr:cNvPr>
        <xdr:cNvSpPr txBox="1"/>
      </xdr:nvSpPr>
      <xdr:spPr>
        <a:xfrm>
          <a:off x="13034108" y="3929184"/>
          <a:ext cx="1084385" cy="468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bg1">
                  <a:lumMod val="75000"/>
                </a:schemeClr>
              </a:solidFill>
              <a:latin typeface="Times New Roman" panose="02020603050405020304" pitchFamily="18" charset="0"/>
              <a:cs typeface="Times New Roman" panose="02020603050405020304" pitchFamily="18" charset="0"/>
            </a:rPr>
            <a:t>Product</a:t>
          </a:r>
        </a:p>
      </xdr:txBody>
    </xdr:sp>
    <xdr:clientData/>
  </xdr:twoCellAnchor>
  <xdr:twoCellAnchor>
    <xdr:from>
      <xdr:col>29</xdr:col>
      <xdr:colOff>0</xdr:colOff>
      <xdr:row>23</xdr:row>
      <xdr:rowOff>0</xdr:rowOff>
    </xdr:from>
    <xdr:to>
      <xdr:col>32</xdr:col>
      <xdr:colOff>0</xdr:colOff>
      <xdr:row>24</xdr:row>
      <xdr:rowOff>137992</xdr:rowOff>
    </xdr:to>
    <xdr:sp macro="" textlink="">
      <xdr:nvSpPr>
        <xdr:cNvPr id="22" name="TextBox 21">
          <a:extLst>
            <a:ext uri="{FF2B5EF4-FFF2-40B4-BE49-F238E27FC236}">
              <a16:creationId xmlns:a16="http://schemas.microsoft.com/office/drawing/2014/main" id="{0A4CBED0-3EEE-4370-B418-B7EFF7FFD341}"/>
            </a:ext>
          </a:extLst>
        </xdr:cNvPr>
        <xdr:cNvSpPr txBox="1"/>
      </xdr:nvSpPr>
      <xdr:spPr>
        <a:xfrm>
          <a:off x="17565077" y="4269154"/>
          <a:ext cx="1817077" cy="323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700" b="0" cap="none" spc="0">
              <a:ln w="0"/>
              <a:solidFill>
                <a:schemeClr val="tx1">
                  <a:lumMod val="75000"/>
                  <a:lumOff val="2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Revenue</a:t>
          </a:r>
        </a:p>
      </xdr:txBody>
    </xdr:sp>
    <xdr:clientData/>
  </xdr:twoCellAnchor>
  <xdr:twoCellAnchor>
    <xdr:from>
      <xdr:col>0</xdr:col>
      <xdr:colOff>0</xdr:colOff>
      <xdr:row>10</xdr:row>
      <xdr:rowOff>142995</xdr:rowOff>
    </xdr:from>
    <xdr:to>
      <xdr:col>5</xdr:col>
      <xdr:colOff>429846</xdr:colOff>
      <xdr:row>12</xdr:row>
      <xdr:rowOff>95371</xdr:rowOff>
    </xdr:to>
    <xdr:sp macro="" textlink="">
      <xdr:nvSpPr>
        <xdr:cNvPr id="29" name="TextBox 28">
          <a:extLst>
            <a:ext uri="{FF2B5EF4-FFF2-40B4-BE49-F238E27FC236}">
              <a16:creationId xmlns:a16="http://schemas.microsoft.com/office/drawing/2014/main" id="{664404C1-5663-49E3-AEDB-65CAE7EEF609}"/>
            </a:ext>
          </a:extLst>
        </xdr:cNvPr>
        <xdr:cNvSpPr txBox="1"/>
      </xdr:nvSpPr>
      <xdr:spPr>
        <a:xfrm>
          <a:off x="0" y="1999149"/>
          <a:ext cx="3458308" cy="323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500" b="0" cap="none" spc="0">
              <a:ln w="0"/>
              <a:solidFill>
                <a:srgbClr val="C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Revenue trend across</a:t>
          </a:r>
          <a:r>
            <a:rPr lang="en-GB" sz="1500" b="0" cap="none" spc="0" baseline="0">
              <a:ln w="0"/>
              <a:solidFill>
                <a:srgbClr val="C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the months</a:t>
          </a:r>
          <a:endParaRPr lang="en-GB" sz="1500" b="0" cap="none" spc="0">
            <a:ln w="0"/>
            <a:solidFill>
              <a:srgbClr val="C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13</xdr:col>
      <xdr:colOff>181707</xdr:colOff>
      <xdr:row>10</xdr:row>
      <xdr:rowOff>90241</xdr:rowOff>
    </xdr:from>
    <xdr:to>
      <xdr:col>19</xdr:col>
      <xdr:colOff>556846</xdr:colOff>
      <xdr:row>12</xdr:row>
      <xdr:rowOff>42617</xdr:rowOff>
    </xdr:to>
    <xdr:sp macro="" textlink="">
      <xdr:nvSpPr>
        <xdr:cNvPr id="34" name="TextBox 33">
          <a:extLst>
            <a:ext uri="{FF2B5EF4-FFF2-40B4-BE49-F238E27FC236}">
              <a16:creationId xmlns:a16="http://schemas.microsoft.com/office/drawing/2014/main" id="{D2ED982B-595D-46C1-8038-6904D8559E31}"/>
            </a:ext>
          </a:extLst>
        </xdr:cNvPr>
        <xdr:cNvSpPr txBox="1"/>
      </xdr:nvSpPr>
      <xdr:spPr>
        <a:xfrm>
          <a:off x="8055707" y="1946395"/>
          <a:ext cx="4009293" cy="323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0" cap="none" spc="0">
              <a:ln w="0"/>
              <a:solidFill>
                <a:srgbClr val="C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Which</a:t>
          </a:r>
          <a:r>
            <a:rPr lang="en-GB" sz="1400" b="0" cap="none" spc="0" baseline="0">
              <a:ln w="0"/>
              <a:solidFill>
                <a:srgbClr val="C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Products generate the most revenue?</a:t>
          </a:r>
          <a:endParaRPr lang="en-GB" sz="1400" b="0" cap="none" spc="0">
            <a:ln w="0"/>
            <a:solidFill>
              <a:srgbClr val="C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48846</xdr:colOff>
      <xdr:row>25</xdr:row>
      <xdr:rowOff>115641</xdr:rowOff>
    </xdr:from>
    <xdr:to>
      <xdr:col>4</xdr:col>
      <xdr:colOff>543901</xdr:colOff>
      <xdr:row>28</xdr:row>
      <xdr:rowOff>68385</xdr:rowOff>
    </xdr:to>
    <xdr:sp macro="" textlink="">
      <xdr:nvSpPr>
        <xdr:cNvPr id="35" name="TextBox 34">
          <a:extLst>
            <a:ext uri="{FF2B5EF4-FFF2-40B4-BE49-F238E27FC236}">
              <a16:creationId xmlns:a16="http://schemas.microsoft.com/office/drawing/2014/main" id="{100C6DD6-57A5-48E4-9DD6-B0E37183AACB}"/>
            </a:ext>
          </a:extLst>
        </xdr:cNvPr>
        <xdr:cNvSpPr txBox="1"/>
      </xdr:nvSpPr>
      <xdr:spPr>
        <a:xfrm>
          <a:off x="654538" y="4756026"/>
          <a:ext cx="2312132" cy="509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0" cap="none" spc="0">
              <a:ln w="0"/>
              <a:solidFill>
                <a:srgbClr val="C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Which stores</a:t>
          </a:r>
          <a:r>
            <a:rPr lang="en-GB" sz="1100" b="0" cap="none" spc="0" baseline="0">
              <a:ln w="0"/>
              <a:solidFill>
                <a:srgbClr val="C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generate the most revenue?</a:t>
          </a:r>
          <a:endParaRPr lang="en-GB" sz="1100" b="0" cap="none" spc="0">
            <a:ln w="0"/>
            <a:solidFill>
              <a:srgbClr val="C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4</xdr:col>
      <xdr:colOff>535354</xdr:colOff>
      <xdr:row>25</xdr:row>
      <xdr:rowOff>131272</xdr:rowOff>
    </xdr:from>
    <xdr:to>
      <xdr:col>10</xdr:col>
      <xdr:colOff>209794</xdr:colOff>
      <xdr:row>27</xdr:row>
      <xdr:rowOff>83649</xdr:rowOff>
    </xdr:to>
    <xdr:sp macro="" textlink="">
      <xdr:nvSpPr>
        <xdr:cNvPr id="36" name="TextBox 35">
          <a:extLst>
            <a:ext uri="{FF2B5EF4-FFF2-40B4-BE49-F238E27FC236}">
              <a16:creationId xmlns:a16="http://schemas.microsoft.com/office/drawing/2014/main" id="{0CE066F7-33FF-46DE-8033-7FD541B3DCCA}"/>
            </a:ext>
          </a:extLst>
        </xdr:cNvPr>
        <xdr:cNvSpPr txBox="1"/>
      </xdr:nvSpPr>
      <xdr:spPr>
        <a:xfrm>
          <a:off x="2958123" y="4771657"/>
          <a:ext cx="3308594" cy="323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0" cap="none" spc="0">
              <a:ln w="0"/>
              <a:solidFill>
                <a:srgbClr val="C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On which days do we sell the most?</a:t>
          </a:r>
        </a:p>
      </xdr:txBody>
    </xdr:sp>
    <xdr:clientData/>
  </xdr:twoCellAnchor>
  <xdr:twoCellAnchor>
    <xdr:from>
      <xdr:col>12</xdr:col>
      <xdr:colOff>234461</xdr:colOff>
      <xdr:row>25</xdr:row>
      <xdr:rowOff>88285</xdr:rowOff>
    </xdr:from>
    <xdr:to>
      <xdr:col>18</xdr:col>
      <xdr:colOff>440345</xdr:colOff>
      <xdr:row>27</xdr:row>
      <xdr:rowOff>40662</xdr:rowOff>
    </xdr:to>
    <xdr:sp macro="" textlink="">
      <xdr:nvSpPr>
        <xdr:cNvPr id="37" name="TextBox 36">
          <a:extLst>
            <a:ext uri="{FF2B5EF4-FFF2-40B4-BE49-F238E27FC236}">
              <a16:creationId xmlns:a16="http://schemas.microsoft.com/office/drawing/2014/main" id="{2F5468D9-EB69-41B9-87B8-3EBA2793C02B}"/>
            </a:ext>
          </a:extLst>
        </xdr:cNvPr>
        <xdr:cNvSpPr txBox="1"/>
      </xdr:nvSpPr>
      <xdr:spPr>
        <a:xfrm>
          <a:off x="7502769" y="4728670"/>
          <a:ext cx="3840038" cy="323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300" b="0" cap="none" spc="0">
              <a:ln w="0"/>
              <a:solidFill>
                <a:srgbClr val="C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In</a:t>
          </a:r>
          <a:r>
            <a:rPr lang="en-GB" sz="1300" b="0" cap="none" spc="0" baseline="0">
              <a:ln w="0"/>
              <a:solidFill>
                <a:srgbClr val="C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which stores do each product sell most?</a:t>
          </a:r>
          <a:endParaRPr lang="en-GB" sz="1300" b="0" cap="none" spc="0">
            <a:ln w="0"/>
            <a:solidFill>
              <a:srgbClr val="C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17</xdr:col>
      <xdr:colOff>155105</xdr:colOff>
      <xdr:row>5</xdr:row>
      <xdr:rowOff>154282</xdr:rowOff>
    </xdr:from>
    <xdr:to>
      <xdr:col>20</xdr:col>
      <xdr:colOff>40804</xdr:colOff>
      <xdr:row>8</xdr:row>
      <xdr:rowOff>106657</xdr:rowOff>
    </xdr:to>
    <xdr:sp macro="" textlink="">
      <xdr:nvSpPr>
        <xdr:cNvPr id="79" name="TextBox 78">
          <a:extLst>
            <a:ext uri="{FF2B5EF4-FFF2-40B4-BE49-F238E27FC236}">
              <a16:creationId xmlns:a16="http://schemas.microsoft.com/office/drawing/2014/main" id="{300B6163-8EDF-4C57-87F9-2E534D9426F1}"/>
            </a:ext>
          </a:extLst>
        </xdr:cNvPr>
        <xdr:cNvSpPr txBox="1"/>
      </xdr:nvSpPr>
      <xdr:spPr>
        <a:xfrm>
          <a:off x="10550290" y="1047986"/>
          <a:ext cx="1720144" cy="488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0" i="0" u="none" strike="noStrike">
              <a:solidFill>
                <a:schemeClr val="dk1"/>
              </a:solidFill>
              <a:effectLst/>
              <a:latin typeface="Segoe UI Semibold" panose="020B0702040204020203" pitchFamily="34" charset="0"/>
              <a:ea typeface="+mn-ea"/>
              <a:cs typeface="Segoe UI Semibold" panose="020B0702040204020203" pitchFamily="34" charset="0"/>
            </a:rPr>
            <a:t>3.50</a:t>
          </a:r>
          <a:endParaRPr lang="en-GB" sz="2800">
            <a:latin typeface="Segoe UI Semibold" panose="020B0702040204020203" pitchFamily="34" charset="0"/>
            <a:cs typeface="Segoe UI Semibold" panose="020B0702040204020203"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ace" refreshedDate="46104.883688078706" createdVersion="8" refreshedVersion="8" minRefreshableVersion="3" recordCount="1000" xr:uid="{1CD575DB-F3AB-44F4-9DB7-A8ABE19A0DC1}">
  <cacheSource type="worksheet">
    <worksheetSource name="Data"/>
  </cacheSource>
  <cacheFields count="12">
    <cacheField name="Sale Date" numFmtId="14">
      <sharedItems containsSemiMixedTypes="0" containsNonDate="0" containsDate="1" containsString="0" minDate="2025-01-01T00:00:00" maxDate="2025-12-31T00:00:00" count="329">
        <d v="2025-02-11T00:00:00"/>
        <d v="2025-03-04T00:00:00"/>
        <d v="2025-04-17T00:00:00"/>
        <d v="2025-11-25T00:00:00"/>
        <d v="2025-02-26T00:00:00"/>
        <d v="2025-04-26T00:00:00"/>
        <d v="2025-07-13T00:00:00"/>
        <d v="2025-08-04T00:00:00"/>
        <d v="2025-08-06T00:00:00"/>
        <d v="2025-09-02T00:00:00"/>
        <d v="2025-09-11T00:00:00"/>
        <d v="2025-09-24T00:00:00"/>
        <d v="2025-10-24T00:00:00"/>
        <d v="2025-10-26T00:00:00"/>
        <d v="2025-11-09T00:00:00"/>
        <d v="2025-11-26T00:00:00"/>
        <d v="2025-01-10T00:00:00"/>
        <d v="2025-01-22T00:00:00"/>
        <d v="2025-01-28T00:00:00"/>
        <d v="2025-02-03T00:00:00"/>
        <d v="2025-04-13T00:00:00"/>
        <d v="2025-05-06T00:00:00"/>
        <d v="2025-06-15T00:00:00"/>
        <d v="2025-07-22T00:00:00"/>
        <d v="2025-08-15T00:00:00"/>
        <d v="2025-09-14T00:00:00"/>
        <d v="2025-10-07T00:00:00"/>
        <d v="2025-10-17T00:00:00"/>
        <d v="2025-11-15T00:00:00"/>
        <d v="2025-11-17T00:00:00"/>
        <d v="2025-12-30T00:00:00"/>
        <d v="2025-01-12T00:00:00"/>
        <d v="2025-01-31T00:00:00"/>
        <d v="2025-04-09T00:00:00"/>
        <d v="2025-04-29T00:00:00"/>
        <d v="2025-05-11T00:00:00"/>
        <d v="2025-05-27T00:00:00"/>
        <d v="2025-06-21T00:00:00"/>
        <d v="2025-07-26T00:00:00"/>
        <d v="2025-08-08T00:00:00"/>
        <d v="2025-08-31T00:00:00"/>
        <d v="2025-09-07T00:00:00"/>
        <d v="2025-09-29T00:00:00"/>
        <d v="2025-12-22T00:00:00"/>
        <d v="2025-01-01T00:00:00"/>
        <d v="2025-01-02T00:00:00"/>
        <d v="2025-01-03T00:00:00"/>
        <d v="2025-01-04T00:00:00"/>
        <d v="2025-01-05T00:00:00"/>
        <d v="2025-01-09T00:00:00"/>
        <d v="2025-01-13T00:00:00"/>
        <d v="2025-01-14T00:00:00"/>
        <d v="2025-01-16T00:00:00"/>
        <d v="2025-01-17T00:00:00"/>
        <d v="2025-01-18T00:00:00"/>
        <d v="2025-01-19T00:00:00"/>
        <d v="2025-01-20T00:00:00"/>
        <d v="2025-01-24T00:00:00"/>
        <d v="2025-01-26T00:00:00"/>
        <d v="2025-01-27T00:00:00"/>
        <d v="2025-01-29T00:00:00"/>
        <d v="2025-01-30T00:00:00"/>
        <d v="2025-02-01T00:00:00"/>
        <d v="2025-02-02T00:00:00"/>
        <d v="2025-02-04T00:00:00"/>
        <d v="2025-02-06T00:00:00"/>
        <d v="2025-02-07T00:00:00"/>
        <d v="2025-02-09T00:00:00"/>
        <d v="2025-02-12T00:00:00"/>
        <d v="2025-02-13T00:00:00"/>
        <d v="2025-02-15T00:00:00"/>
        <d v="2025-02-17T00:00:00"/>
        <d v="2025-02-18T00:00:00"/>
        <d v="2025-02-19T00:00:00"/>
        <d v="2025-02-20T00:00:00"/>
        <d v="2025-02-21T00:00:00"/>
        <d v="2025-02-23T00:00:00"/>
        <d v="2025-02-24T00:00:00"/>
        <d v="2025-02-25T00:00:00"/>
        <d v="2025-02-27T00:00:00"/>
        <d v="2025-02-28T00:00:00"/>
        <d v="2025-03-02T00:00:00"/>
        <d v="2025-03-05T00:00:00"/>
        <d v="2025-03-07T00:00:00"/>
        <d v="2025-03-08T00:00:00"/>
        <d v="2025-03-09T00:00:00"/>
        <d v="2025-03-10T00:00:00"/>
        <d v="2025-03-11T00:00:00"/>
        <d v="2025-03-12T00:00:00"/>
        <d v="2025-03-13T00:00:00"/>
        <d v="2025-03-14T00:00:00"/>
        <d v="2025-03-16T00:00:00"/>
        <d v="2025-03-17T00:00:00"/>
        <d v="2025-03-18T00:00:00"/>
        <d v="2025-03-19T00:00:00"/>
        <d v="2025-03-20T00:00:00"/>
        <d v="2025-03-21T00:00:00"/>
        <d v="2025-03-22T00:00:00"/>
        <d v="2025-03-23T00:00:00"/>
        <d v="2025-03-24T00:00:00"/>
        <d v="2025-03-25T00:00:00"/>
        <d v="2025-03-26T00:00:00"/>
        <d v="2025-03-27T00:00:00"/>
        <d v="2025-03-29T00:00:00"/>
        <d v="2025-03-30T00:00:00"/>
        <d v="2025-04-02T00:00:00"/>
        <d v="2025-04-04T00:00:00"/>
        <d v="2025-04-05T00:00:00"/>
        <d v="2025-04-06T00:00:00"/>
        <d v="2025-04-07T00:00:00"/>
        <d v="2025-04-08T00:00:00"/>
        <d v="2025-04-10T00:00:00"/>
        <d v="2025-04-11T00:00:00"/>
        <d v="2025-04-15T00:00:00"/>
        <d v="2025-04-19T00:00:00"/>
        <d v="2025-04-21T00:00:00"/>
        <d v="2025-04-22T00:00:00"/>
        <d v="2025-04-23T00:00:00"/>
        <d v="2025-04-24T00:00:00"/>
        <d v="2025-04-25T00:00:00"/>
        <d v="2025-04-30T00:00:00"/>
        <d v="2025-05-01T00:00:00"/>
        <d v="2025-05-02T00:00:00"/>
        <d v="2025-05-03T00:00:00"/>
        <d v="2025-05-04T00:00:00"/>
        <d v="2025-05-05T00:00:00"/>
        <d v="2025-05-08T00:00:00"/>
        <d v="2025-05-10T00:00:00"/>
        <d v="2025-05-12T00:00:00"/>
        <d v="2025-05-13T00:00:00"/>
        <d v="2025-05-14T00:00:00"/>
        <d v="2025-05-15T00:00:00"/>
        <d v="2025-05-16T00:00:00"/>
        <d v="2025-05-17T00:00:00"/>
        <d v="2025-05-18T00:00:00"/>
        <d v="2025-05-19T00:00:00"/>
        <d v="2025-05-20T00:00:00"/>
        <d v="2025-05-22T00:00:00"/>
        <d v="2025-05-23T00:00:00"/>
        <d v="2025-05-24T00:00:00"/>
        <d v="2025-05-25T00:00:00"/>
        <d v="2025-05-26T00:00:00"/>
        <d v="2025-05-28T00:00:00"/>
        <d v="2025-05-29T00:00:00"/>
        <d v="2025-05-31T00:00:00"/>
        <d v="2025-06-01T00:00:00"/>
        <d v="2025-06-03T00:00:00"/>
        <d v="2025-06-04T00:00:00"/>
        <d v="2025-06-05T00:00:00"/>
        <d v="2025-06-07T00:00:00"/>
        <d v="2025-06-10T00:00:00"/>
        <d v="2025-06-11T00:00:00"/>
        <d v="2025-06-12T00:00:00"/>
        <d v="2025-06-13T00:00:00"/>
        <d v="2025-06-14T00:00:00"/>
        <d v="2025-06-16T00:00:00"/>
        <d v="2025-06-17T00:00:00"/>
        <d v="2025-06-18T00:00:00"/>
        <d v="2025-06-19T00:00:00"/>
        <d v="2025-06-20T00:00:00"/>
        <d v="2025-06-22T00:00:00"/>
        <d v="2025-06-23T00:00:00"/>
        <d v="2025-06-24T00:00:00"/>
        <d v="2025-06-25T00:00:00"/>
        <d v="2025-06-26T00:00:00"/>
        <d v="2025-06-27T00:00:00"/>
        <d v="2025-06-28T00:00:00"/>
        <d v="2025-06-29T00:00:00"/>
        <d v="2025-07-01T00:00:00"/>
        <d v="2025-07-02T00:00:00"/>
        <d v="2025-07-03T00:00:00"/>
        <d v="2025-07-05T00:00:00"/>
        <d v="2025-07-06T00:00:00"/>
        <d v="2025-07-07T00:00:00"/>
        <d v="2025-07-08T00:00:00"/>
        <d v="2025-07-09T00:00:00"/>
        <d v="2025-07-10T00:00:00"/>
        <d v="2025-07-11T00:00:00"/>
        <d v="2025-07-12T00:00:00"/>
        <d v="2025-07-14T00:00:00"/>
        <d v="2025-07-15T00:00:00"/>
        <d v="2025-07-17T00:00:00"/>
        <d v="2025-07-18T00:00:00"/>
        <d v="2025-07-19T00:00:00"/>
        <d v="2025-07-20T00:00:00"/>
        <d v="2025-07-21T00:00:00"/>
        <d v="2025-07-23T00:00:00"/>
        <d v="2025-07-24T00:00:00"/>
        <d v="2025-07-25T00:00:00"/>
        <d v="2025-07-28T00:00:00"/>
        <d v="2025-07-29T00:00:00"/>
        <d v="2025-08-01T00:00:00"/>
        <d v="2025-08-03T00:00:00"/>
        <d v="2025-08-07T00:00:00"/>
        <d v="2025-08-09T00:00:00"/>
        <d v="2025-08-10T00:00:00"/>
        <d v="2025-08-11T00:00:00"/>
        <d v="2025-08-12T00:00:00"/>
        <d v="2025-08-16T00:00:00"/>
        <d v="2025-08-17T00:00:00"/>
        <d v="2025-08-18T00:00:00"/>
        <d v="2025-08-19T00:00:00"/>
        <d v="2025-08-20T00:00:00"/>
        <d v="2025-08-21T00:00:00"/>
        <d v="2025-08-22T00:00:00"/>
        <d v="2025-08-24T00:00:00"/>
        <d v="2025-08-26T00:00:00"/>
        <d v="2025-08-28T00:00:00"/>
        <d v="2025-08-30T00:00:00"/>
        <d v="2025-09-01T00:00:00"/>
        <d v="2025-09-03T00:00:00"/>
        <d v="2025-09-05T00:00:00"/>
        <d v="2025-09-06T00:00:00"/>
        <d v="2025-09-08T00:00:00"/>
        <d v="2025-09-09T00:00:00"/>
        <d v="2025-09-10T00:00:00"/>
        <d v="2025-09-12T00:00:00"/>
        <d v="2025-09-13T00:00:00"/>
        <d v="2025-09-15T00:00:00"/>
        <d v="2025-09-16T00:00:00"/>
        <d v="2025-09-17T00:00:00"/>
        <d v="2025-09-19T00:00:00"/>
        <d v="2025-09-20T00:00:00"/>
        <d v="2025-09-21T00:00:00"/>
        <d v="2025-09-22T00:00:00"/>
        <d v="2025-09-25T00:00:00"/>
        <d v="2025-09-26T00:00:00"/>
        <d v="2025-09-27T00:00:00"/>
        <d v="2025-09-28T00:00:00"/>
        <d v="2025-09-30T00:00:00"/>
        <d v="2025-10-01T00:00:00"/>
        <d v="2025-10-02T00:00:00"/>
        <d v="2025-10-03T00:00:00"/>
        <d v="2025-10-04T00:00:00"/>
        <d v="2025-10-05T00:00:00"/>
        <d v="2025-10-06T00:00:00"/>
        <d v="2025-10-09T00:00:00"/>
        <d v="2025-10-10T00:00:00"/>
        <d v="2025-10-12T00:00:00"/>
        <d v="2025-10-13T00:00:00"/>
        <d v="2025-10-14T00:00:00"/>
        <d v="2025-10-15T00:00:00"/>
        <d v="2025-10-16T00:00:00"/>
        <d v="2025-10-18T00:00:00"/>
        <d v="2025-10-19T00:00:00"/>
        <d v="2025-10-20T00:00:00"/>
        <d v="2025-10-23T00:00:00"/>
        <d v="2025-10-27T00:00:00"/>
        <d v="2025-10-31T00:00:00"/>
        <d v="2025-11-01T00:00:00"/>
        <d v="2025-11-02T00:00:00"/>
        <d v="2025-11-04T00:00:00"/>
        <d v="2025-11-05T00:00:00"/>
        <d v="2025-11-07T00:00:00"/>
        <d v="2025-11-10T00:00:00"/>
        <d v="2025-11-12T00:00:00"/>
        <d v="2025-11-13T00:00:00"/>
        <d v="2025-11-14T00:00:00"/>
        <d v="2025-11-18T00:00:00"/>
        <d v="2025-11-20T00:00:00"/>
        <d v="2025-11-21T00:00:00"/>
        <d v="2025-11-23T00:00:00"/>
        <d v="2025-11-24T00:00:00"/>
        <d v="2025-11-27T00:00:00"/>
        <d v="2025-11-28T00:00:00"/>
        <d v="2025-11-29T00:00:00"/>
        <d v="2025-11-30T00:00:00"/>
        <d v="2025-12-01T00:00:00"/>
        <d v="2025-12-02T00:00:00"/>
        <d v="2025-12-04T00:00:00"/>
        <d v="2025-12-06T00:00:00"/>
        <d v="2025-12-07T00:00:00"/>
        <d v="2025-12-08T00:00:00"/>
        <d v="2025-12-10T00:00:00"/>
        <d v="2025-12-11T00:00:00"/>
        <d v="2025-12-12T00:00:00"/>
        <d v="2025-12-13T00:00:00"/>
        <d v="2025-12-14T00:00:00"/>
        <d v="2025-12-15T00:00:00"/>
        <d v="2025-12-16T00:00:00"/>
        <d v="2025-12-18T00:00:00"/>
        <d v="2025-12-19T00:00:00"/>
        <d v="2025-12-20T00:00:00"/>
        <d v="2025-12-21T00:00:00"/>
        <d v="2025-12-23T00:00:00"/>
        <d v="2025-12-24T00:00:00"/>
        <d v="2025-12-26T00:00:00"/>
        <d v="2025-12-28T00:00:00"/>
        <d v="2025-12-29T00:00:00"/>
        <d v="2025-04-12T00:00:00"/>
        <d v="2025-11-08T00:00:00"/>
        <d v="2025-10-30T00:00:00"/>
        <d v="2025-03-06T00:00:00"/>
        <d v="2025-04-18T00:00:00"/>
        <d v="2025-06-06T00:00:00"/>
        <d v="2025-07-27T00:00:00"/>
        <d v="2025-01-06T00:00:00"/>
        <d v="2025-01-15T00:00:00"/>
        <d v="2025-01-21T00:00:00"/>
        <d v="2025-01-25T00:00:00"/>
        <d v="2025-02-05T00:00:00"/>
        <d v="2025-02-10T00:00:00"/>
        <d v="2025-02-16T00:00:00"/>
        <d v="2025-02-22T00:00:00"/>
        <d v="2025-03-15T00:00:00"/>
        <d v="2025-03-28T00:00:00"/>
        <d v="2025-05-07T00:00:00"/>
        <d v="2025-06-02T00:00:00"/>
        <d v="2025-06-09T00:00:00"/>
        <d v="2025-07-16T00:00:00"/>
        <d v="2025-07-31T00:00:00"/>
        <d v="2025-08-02T00:00:00"/>
        <d v="2025-08-05T00:00:00"/>
        <d v="2025-08-13T00:00:00"/>
        <d v="2025-08-23T00:00:00"/>
        <d v="2025-08-27T00:00:00"/>
        <d v="2025-08-29T00:00:00"/>
        <d v="2025-09-04T00:00:00"/>
        <d v="2025-09-23T00:00:00"/>
        <d v="2025-10-08T00:00:00"/>
        <d v="2025-11-03T00:00:00"/>
        <d v="2025-11-06T00:00:00"/>
        <d v="2025-11-11T00:00:00"/>
        <d v="2025-11-16T00:00:00"/>
        <d v="2025-11-19T00:00:00"/>
        <d v="2025-11-22T00:00:00"/>
        <d v="2025-12-03T00:00:00"/>
        <d v="2025-12-05T00:00:00"/>
        <d v="2025-12-09T00:00:00"/>
      </sharedItems>
      <fieldGroup par="11"/>
    </cacheField>
    <cacheField name="Customer Name" numFmtId="0">
      <sharedItems/>
    </cacheField>
    <cacheField name="Product" numFmtId="0">
      <sharedItems count="10">
        <s v="Speaker"/>
        <s v="Camera"/>
        <s v="Monitor"/>
        <s v="Headphones"/>
        <s v="Laptop"/>
        <s v="Smartwatch"/>
        <s v="Phone"/>
        <s v="Keyboard"/>
        <s v="Tablet"/>
        <s v="Printer"/>
      </sharedItems>
    </cacheField>
    <cacheField name="Quantity Sold" numFmtId="0">
      <sharedItems containsSemiMixedTypes="0" containsString="0" containsNumber="1" containsInteger="1" minValue="1" maxValue="6"/>
    </cacheField>
    <cacheField name="Unit Price" numFmtId="0">
      <sharedItems containsSemiMixedTypes="0" containsString="0" containsNumber="1" containsInteger="1" minValue="53" maxValue="1882"/>
    </cacheField>
    <cacheField name="Total Revenue" numFmtId="0">
      <sharedItems containsSemiMixedTypes="0" containsString="0" containsNumber="1" containsInteger="1" minValue="53" maxValue="5970"/>
    </cacheField>
    <cacheField name="Store Location" numFmtId="0">
      <sharedItems count="6">
        <s v="Store E"/>
        <s v="Store C"/>
        <s v="Online"/>
        <s v="Store B"/>
        <s v="Store D"/>
        <s v="Store A"/>
      </sharedItems>
    </cacheField>
    <cacheField name="Year" numFmtId="0">
      <sharedItems containsSemiMixedTypes="0" containsString="0" containsNumber="1" containsInteger="1" minValue="2025" maxValue="2025" count="1">
        <n v="2025"/>
      </sharedItems>
    </cacheField>
    <cacheField name="Month" numFmtId="0">
      <sharedItems count="12">
        <s v="February"/>
        <s v="March"/>
        <s v="April"/>
        <s v="November"/>
        <s v="July"/>
        <s v="August"/>
        <s v="September"/>
        <s v="October"/>
        <s v="January"/>
        <s v="May"/>
        <s v="June"/>
        <s v="December"/>
      </sharedItems>
    </cacheField>
    <cacheField name="Day" numFmtId="0">
      <sharedItems count="7">
        <s v="Tuesday"/>
        <s v="Thursday"/>
        <s v="Wednesday"/>
        <s v="Saturday"/>
        <s v="Sunday"/>
        <s v="Monday"/>
        <s v="Friday"/>
      </sharedItems>
    </cacheField>
    <cacheField name="Days (Sale Date)" numFmtId="0" databaseField="0">
      <fieldGroup base="0">
        <rangePr groupBy="days" startDate="2025-01-01T00:00:00" endDate="2025-12-3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5"/>
        </groupItems>
      </fieldGroup>
    </cacheField>
    <cacheField name="Months (Sale Date)" numFmtId="0" databaseField="0">
      <fieldGroup base="0">
        <rangePr groupBy="months" startDate="2025-01-01T00:00:00" endDate="2025-12-31T00:00:00"/>
        <groupItems count="14">
          <s v="&lt;01/01/2025"/>
          <s v="Jan"/>
          <s v="Feb"/>
          <s v="Mar"/>
          <s v="Apr"/>
          <s v="May"/>
          <s v="Jun"/>
          <s v="Jul"/>
          <s v="Aug"/>
          <s v="Sep"/>
          <s v="Oct"/>
          <s v="Nov"/>
          <s v="Dec"/>
          <s v="&gt;31/12/2025"/>
        </groupItems>
      </fieldGroup>
    </cacheField>
  </cacheFields>
  <extLst>
    <ext xmlns:x14="http://schemas.microsoft.com/office/spreadsheetml/2009/9/main" uri="{725AE2AE-9491-48be-B2B4-4EB974FC3084}">
      <x14:pivotCacheDefinition pivotCacheId="638566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David Everett"/>
    <x v="0"/>
    <n v="3"/>
    <n v="627"/>
    <n v="1882"/>
    <x v="0"/>
    <x v="0"/>
    <x v="0"/>
    <x v="0"/>
  </r>
  <r>
    <x v="1"/>
    <s v="Eric Donovan"/>
    <x v="1"/>
    <n v="3"/>
    <n v="627"/>
    <n v="1882"/>
    <x v="1"/>
    <x v="0"/>
    <x v="1"/>
    <x v="0"/>
  </r>
  <r>
    <x v="2"/>
    <s v="Debbie Miller"/>
    <x v="1"/>
    <n v="3"/>
    <n v="627"/>
    <n v="1882"/>
    <x v="0"/>
    <x v="0"/>
    <x v="2"/>
    <x v="1"/>
  </r>
  <r>
    <x v="3"/>
    <s v="Brandon Figueroa"/>
    <x v="0"/>
    <n v="3"/>
    <n v="627"/>
    <n v="1882"/>
    <x v="2"/>
    <x v="0"/>
    <x v="3"/>
    <x v="0"/>
  </r>
  <r>
    <x v="4"/>
    <s v="Justin Patterson"/>
    <x v="2"/>
    <n v="3"/>
    <n v="347"/>
    <n v="1041"/>
    <x v="3"/>
    <x v="0"/>
    <x v="0"/>
    <x v="2"/>
  </r>
  <r>
    <x v="5"/>
    <s v="Jennifer Buchanan"/>
    <x v="3"/>
    <n v="3"/>
    <n v="305"/>
    <n v="915"/>
    <x v="3"/>
    <x v="0"/>
    <x v="2"/>
    <x v="3"/>
  </r>
  <r>
    <x v="6"/>
    <s v="Kevin Avery"/>
    <x v="4"/>
    <n v="3"/>
    <n v="689"/>
    <n v="2067"/>
    <x v="3"/>
    <x v="0"/>
    <x v="4"/>
    <x v="4"/>
  </r>
  <r>
    <x v="7"/>
    <s v="Kaitlyn Graham"/>
    <x v="5"/>
    <n v="3"/>
    <n v="178"/>
    <n v="534"/>
    <x v="3"/>
    <x v="0"/>
    <x v="5"/>
    <x v="5"/>
  </r>
  <r>
    <x v="8"/>
    <s v="Annette Davis"/>
    <x v="5"/>
    <n v="3"/>
    <n v="468"/>
    <n v="1404"/>
    <x v="0"/>
    <x v="0"/>
    <x v="5"/>
    <x v="2"/>
  </r>
  <r>
    <x v="9"/>
    <s v="Bradley Moore"/>
    <x v="1"/>
    <n v="3"/>
    <n v="647"/>
    <n v="1941"/>
    <x v="4"/>
    <x v="0"/>
    <x v="6"/>
    <x v="0"/>
  </r>
  <r>
    <x v="10"/>
    <s v="Erika Gibson"/>
    <x v="4"/>
    <n v="3"/>
    <n v="992"/>
    <n v="2976"/>
    <x v="1"/>
    <x v="0"/>
    <x v="6"/>
    <x v="1"/>
  </r>
  <r>
    <x v="11"/>
    <s v="Elizabeth Casey"/>
    <x v="2"/>
    <n v="3"/>
    <n v="895"/>
    <n v="2685"/>
    <x v="2"/>
    <x v="0"/>
    <x v="6"/>
    <x v="2"/>
  </r>
  <r>
    <x v="12"/>
    <s v="Judith Howard"/>
    <x v="1"/>
    <n v="3"/>
    <n v="211"/>
    <n v="633"/>
    <x v="4"/>
    <x v="0"/>
    <x v="7"/>
    <x v="6"/>
  </r>
  <r>
    <x v="13"/>
    <s v="Emily Hutchinson"/>
    <x v="6"/>
    <n v="3"/>
    <n v="356"/>
    <n v="1068"/>
    <x v="5"/>
    <x v="0"/>
    <x v="7"/>
    <x v="4"/>
  </r>
  <r>
    <x v="14"/>
    <s v="Julie Hill"/>
    <x v="7"/>
    <n v="3"/>
    <n v="788"/>
    <n v="2364"/>
    <x v="3"/>
    <x v="0"/>
    <x v="3"/>
    <x v="4"/>
  </r>
  <r>
    <x v="15"/>
    <s v="Courtney Brooks"/>
    <x v="8"/>
    <n v="3"/>
    <n v="684"/>
    <n v="2052"/>
    <x v="2"/>
    <x v="0"/>
    <x v="3"/>
    <x v="2"/>
  </r>
  <r>
    <x v="16"/>
    <s v="Mrs. Lisa Hurst"/>
    <x v="6"/>
    <n v="1"/>
    <n v="1882"/>
    <n v="1882"/>
    <x v="3"/>
    <x v="0"/>
    <x v="8"/>
    <x v="6"/>
  </r>
  <r>
    <x v="17"/>
    <s v="Lisa Mcdonald"/>
    <x v="9"/>
    <n v="2"/>
    <n v="941"/>
    <n v="1882"/>
    <x v="3"/>
    <x v="0"/>
    <x v="8"/>
    <x v="2"/>
  </r>
  <r>
    <x v="18"/>
    <s v="Charles Lane"/>
    <x v="2"/>
    <n v="4"/>
    <n v="470"/>
    <n v="1882"/>
    <x v="0"/>
    <x v="0"/>
    <x v="8"/>
    <x v="0"/>
  </r>
  <r>
    <x v="19"/>
    <s v="Alyssa Perry"/>
    <x v="9"/>
    <n v="5"/>
    <n v="376"/>
    <n v="1882"/>
    <x v="1"/>
    <x v="0"/>
    <x v="0"/>
    <x v="5"/>
  </r>
  <r>
    <x v="20"/>
    <s v="Samantha Garrett"/>
    <x v="7"/>
    <n v="4"/>
    <n v="470"/>
    <n v="1882"/>
    <x v="5"/>
    <x v="0"/>
    <x v="2"/>
    <x v="4"/>
  </r>
  <r>
    <x v="21"/>
    <s v="Samantha Lynch"/>
    <x v="2"/>
    <n v="4"/>
    <n v="470"/>
    <n v="1882"/>
    <x v="0"/>
    <x v="0"/>
    <x v="9"/>
    <x v="0"/>
  </r>
  <r>
    <x v="22"/>
    <s v="Antonio Palmer"/>
    <x v="7"/>
    <n v="4"/>
    <n v="470"/>
    <n v="1882"/>
    <x v="2"/>
    <x v="0"/>
    <x v="10"/>
    <x v="4"/>
  </r>
  <r>
    <x v="23"/>
    <s v="Jennifer Pacheco"/>
    <x v="4"/>
    <n v="6"/>
    <n v="314"/>
    <n v="1882"/>
    <x v="5"/>
    <x v="0"/>
    <x v="4"/>
    <x v="0"/>
  </r>
  <r>
    <x v="24"/>
    <s v="Steve Lang"/>
    <x v="6"/>
    <n v="3"/>
    <n v="627"/>
    <n v="1882"/>
    <x v="4"/>
    <x v="0"/>
    <x v="5"/>
    <x v="6"/>
  </r>
  <r>
    <x v="25"/>
    <s v="Mrs. Jamie Ochoa"/>
    <x v="4"/>
    <n v="4"/>
    <n v="470"/>
    <n v="1882"/>
    <x v="5"/>
    <x v="0"/>
    <x v="6"/>
    <x v="4"/>
  </r>
  <r>
    <x v="26"/>
    <s v="Ashley Wilson"/>
    <x v="2"/>
    <n v="2"/>
    <n v="941"/>
    <n v="1882"/>
    <x v="1"/>
    <x v="0"/>
    <x v="7"/>
    <x v="0"/>
  </r>
  <r>
    <x v="27"/>
    <s v="Joanne Stanton"/>
    <x v="2"/>
    <n v="2"/>
    <n v="941"/>
    <n v="1882"/>
    <x v="4"/>
    <x v="0"/>
    <x v="7"/>
    <x v="6"/>
  </r>
  <r>
    <x v="28"/>
    <s v="James Sosa"/>
    <x v="2"/>
    <n v="4"/>
    <n v="470"/>
    <n v="1882"/>
    <x v="5"/>
    <x v="0"/>
    <x v="3"/>
    <x v="3"/>
  </r>
  <r>
    <x v="29"/>
    <s v="Jay Snyder"/>
    <x v="1"/>
    <n v="2"/>
    <n v="941"/>
    <n v="1882"/>
    <x v="1"/>
    <x v="0"/>
    <x v="3"/>
    <x v="5"/>
  </r>
  <r>
    <x v="30"/>
    <s v="Mrs. Sherri Fry"/>
    <x v="2"/>
    <n v="4"/>
    <n v="470"/>
    <n v="1882"/>
    <x v="2"/>
    <x v="0"/>
    <x v="11"/>
    <x v="0"/>
  </r>
  <r>
    <x v="31"/>
    <s v="Jason Smith"/>
    <x v="3"/>
    <n v="3"/>
    <n v="1000"/>
    <n v="3000"/>
    <x v="3"/>
    <x v="0"/>
    <x v="8"/>
    <x v="4"/>
  </r>
  <r>
    <x v="32"/>
    <s v="Brian Norton"/>
    <x v="6"/>
    <n v="3"/>
    <n v="892"/>
    <n v="2676"/>
    <x v="3"/>
    <x v="0"/>
    <x v="8"/>
    <x v="6"/>
  </r>
  <r>
    <x v="33"/>
    <s v="Jonathan Edwards"/>
    <x v="5"/>
    <n v="3"/>
    <n v="1193"/>
    <n v="3580"/>
    <x v="4"/>
    <x v="0"/>
    <x v="2"/>
    <x v="2"/>
  </r>
  <r>
    <x v="34"/>
    <s v="Christina Pruitt"/>
    <x v="9"/>
    <n v="3"/>
    <n v="1602"/>
    <n v="4806"/>
    <x v="3"/>
    <x v="0"/>
    <x v="2"/>
    <x v="0"/>
  </r>
  <r>
    <x v="35"/>
    <s v="Alexander White"/>
    <x v="4"/>
    <n v="3"/>
    <n v="620"/>
    <n v="1860"/>
    <x v="3"/>
    <x v="0"/>
    <x v="9"/>
    <x v="4"/>
  </r>
  <r>
    <x v="36"/>
    <s v="Christopher Dominguez"/>
    <x v="5"/>
    <n v="3"/>
    <n v="162"/>
    <n v="486"/>
    <x v="2"/>
    <x v="0"/>
    <x v="9"/>
    <x v="0"/>
  </r>
  <r>
    <x v="37"/>
    <s v="Stacy Lamb"/>
    <x v="0"/>
    <n v="3"/>
    <n v="332"/>
    <n v="996"/>
    <x v="1"/>
    <x v="0"/>
    <x v="10"/>
    <x v="3"/>
  </r>
  <r>
    <x v="38"/>
    <s v="Christine Higgins"/>
    <x v="4"/>
    <n v="3"/>
    <n v="558"/>
    <n v="1674"/>
    <x v="5"/>
    <x v="0"/>
    <x v="4"/>
    <x v="3"/>
  </r>
  <r>
    <x v="39"/>
    <s v="Heather Henry"/>
    <x v="9"/>
    <n v="3"/>
    <n v="469"/>
    <n v="1408"/>
    <x v="2"/>
    <x v="0"/>
    <x v="5"/>
    <x v="6"/>
  </r>
  <r>
    <x v="40"/>
    <s v="April Miller"/>
    <x v="2"/>
    <n v="3"/>
    <n v="752"/>
    <n v="2256"/>
    <x v="4"/>
    <x v="0"/>
    <x v="5"/>
    <x v="4"/>
  </r>
  <r>
    <x v="41"/>
    <s v="Jessica Sawyer"/>
    <x v="5"/>
    <n v="3"/>
    <n v="582"/>
    <n v="1746"/>
    <x v="5"/>
    <x v="0"/>
    <x v="6"/>
    <x v="4"/>
  </r>
  <r>
    <x v="42"/>
    <s v="Tara Paul"/>
    <x v="4"/>
    <n v="3"/>
    <n v="185"/>
    <n v="556"/>
    <x v="5"/>
    <x v="0"/>
    <x v="6"/>
    <x v="5"/>
  </r>
  <r>
    <x v="43"/>
    <s v="April Vasquez"/>
    <x v="5"/>
    <n v="3"/>
    <n v="595"/>
    <n v="1785"/>
    <x v="3"/>
    <x v="0"/>
    <x v="11"/>
    <x v="5"/>
  </r>
  <r>
    <x v="44"/>
    <s v="Joshua Brewer"/>
    <x v="5"/>
    <n v="4"/>
    <n v="258"/>
    <n v="1032"/>
    <x v="1"/>
    <x v="0"/>
    <x v="8"/>
    <x v="2"/>
  </r>
  <r>
    <x v="45"/>
    <s v="Veronica Conner"/>
    <x v="8"/>
    <n v="3"/>
    <n v="132"/>
    <n v="396"/>
    <x v="2"/>
    <x v="0"/>
    <x v="8"/>
    <x v="1"/>
  </r>
  <r>
    <x v="45"/>
    <s v="Brenda Miles"/>
    <x v="0"/>
    <n v="3"/>
    <n v="728"/>
    <n v="2184"/>
    <x v="5"/>
    <x v="0"/>
    <x v="8"/>
    <x v="1"/>
  </r>
  <r>
    <x v="46"/>
    <s v="Brian Cook"/>
    <x v="8"/>
    <n v="6"/>
    <n v="756"/>
    <n v="4536"/>
    <x v="2"/>
    <x v="0"/>
    <x v="8"/>
    <x v="6"/>
  </r>
  <r>
    <x v="47"/>
    <s v="James Rodriguez"/>
    <x v="8"/>
    <n v="4"/>
    <n v="567"/>
    <n v="2268"/>
    <x v="3"/>
    <x v="0"/>
    <x v="8"/>
    <x v="3"/>
  </r>
  <r>
    <x v="48"/>
    <s v="Patricia White"/>
    <x v="5"/>
    <n v="1"/>
    <n v="667"/>
    <n v="667"/>
    <x v="3"/>
    <x v="0"/>
    <x v="8"/>
    <x v="4"/>
  </r>
  <r>
    <x v="49"/>
    <s v="Sara Huff"/>
    <x v="2"/>
    <n v="2"/>
    <n v="572"/>
    <n v="1144"/>
    <x v="5"/>
    <x v="0"/>
    <x v="8"/>
    <x v="1"/>
  </r>
  <r>
    <x v="49"/>
    <s v="Darlene Holloway"/>
    <x v="4"/>
    <n v="4"/>
    <n v="746"/>
    <n v="2984"/>
    <x v="5"/>
    <x v="0"/>
    <x v="8"/>
    <x v="1"/>
  </r>
  <r>
    <x v="16"/>
    <s v="Derek Wong"/>
    <x v="8"/>
    <n v="4"/>
    <n v="411"/>
    <n v="1644"/>
    <x v="5"/>
    <x v="0"/>
    <x v="8"/>
    <x v="6"/>
  </r>
  <r>
    <x v="31"/>
    <s v="Nathan Stewart"/>
    <x v="0"/>
    <n v="1"/>
    <n v="947"/>
    <n v="947"/>
    <x v="0"/>
    <x v="0"/>
    <x v="8"/>
    <x v="4"/>
  </r>
  <r>
    <x v="31"/>
    <s v="Timothy Miranda"/>
    <x v="4"/>
    <n v="5"/>
    <n v="606"/>
    <n v="3030"/>
    <x v="5"/>
    <x v="0"/>
    <x v="8"/>
    <x v="4"/>
  </r>
  <r>
    <x v="50"/>
    <s v="Jason Allen"/>
    <x v="5"/>
    <n v="1"/>
    <n v="786"/>
    <n v="786"/>
    <x v="2"/>
    <x v="0"/>
    <x v="8"/>
    <x v="5"/>
  </r>
  <r>
    <x v="50"/>
    <s v="Heather Cole"/>
    <x v="6"/>
    <n v="4"/>
    <n v="792"/>
    <n v="3168"/>
    <x v="4"/>
    <x v="0"/>
    <x v="8"/>
    <x v="5"/>
  </r>
  <r>
    <x v="51"/>
    <s v="Gerald Valencia"/>
    <x v="6"/>
    <n v="5"/>
    <n v="187"/>
    <n v="935"/>
    <x v="0"/>
    <x v="0"/>
    <x v="8"/>
    <x v="0"/>
  </r>
  <r>
    <x v="52"/>
    <s v="Anita Mcgee"/>
    <x v="4"/>
    <n v="5"/>
    <n v="524"/>
    <n v="2620"/>
    <x v="2"/>
    <x v="0"/>
    <x v="8"/>
    <x v="1"/>
  </r>
  <r>
    <x v="53"/>
    <s v="Paul Vargas"/>
    <x v="2"/>
    <n v="3"/>
    <n v="560"/>
    <n v="1680"/>
    <x v="0"/>
    <x v="0"/>
    <x v="8"/>
    <x v="6"/>
  </r>
  <r>
    <x v="54"/>
    <s v="Arthur Parker"/>
    <x v="3"/>
    <n v="2"/>
    <n v="424"/>
    <n v="848"/>
    <x v="1"/>
    <x v="0"/>
    <x v="8"/>
    <x v="3"/>
  </r>
  <r>
    <x v="55"/>
    <s v="Rebecca Obrien"/>
    <x v="8"/>
    <n v="5"/>
    <n v="254"/>
    <n v="1270"/>
    <x v="3"/>
    <x v="0"/>
    <x v="8"/>
    <x v="4"/>
  </r>
  <r>
    <x v="56"/>
    <s v="Mark White"/>
    <x v="8"/>
    <n v="1"/>
    <n v="98"/>
    <n v="98"/>
    <x v="1"/>
    <x v="0"/>
    <x v="8"/>
    <x v="5"/>
  </r>
  <r>
    <x v="56"/>
    <s v="Nicholas West"/>
    <x v="4"/>
    <n v="3"/>
    <n v="402"/>
    <n v="1206"/>
    <x v="2"/>
    <x v="0"/>
    <x v="8"/>
    <x v="5"/>
  </r>
  <r>
    <x v="17"/>
    <s v="George Mendoza"/>
    <x v="5"/>
    <n v="2"/>
    <n v="429"/>
    <n v="858"/>
    <x v="5"/>
    <x v="0"/>
    <x v="8"/>
    <x v="2"/>
  </r>
  <r>
    <x v="57"/>
    <s v="Chelsea Morris"/>
    <x v="2"/>
    <n v="4"/>
    <n v="160"/>
    <n v="640"/>
    <x v="2"/>
    <x v="0"/>
    <x v="8"/>
    <x v="6"/>
  </r>
  <r>
    <x v="57"/>
    <s v="Zachary Bailey"/>
    <x v="8"/>
    <n v="3"/>
    <n v="780"/>
    <n v="2340"/>
    <x v="5"/>
    <x v="0"/>
    <x v="8"/>
    <x v="6"/>
  </r>
  <r>
    <x v="58"/>
    <s v="Angela Davis"/>
    <x v="1"/>
    <n v="6"/>
    <n v="83"/>
    <n v="498"/>
    <x v="3"/>
    <x v="0"/>
    <x v="8"/>
    <x v="4"/>
  </r>
  <r>
    <x v="59"/>
    <s v="Dylan Lewis"/>
    <x v="7"/>
    <n v="3"/>
    <n v="188"/>
    <n v="564"/>
    <x v="1"/>
    <x v="0"/>
    <x v="8"/>
    <x v="5"/>
  </r>
  <r>
    <x v="59"/>
    <s v="Charlene Morgan"/>
    <x v="2"/>
    <n v="3"/>
    <n v="317"/>
    <n v="951"/>
    <x v="0"/>
    <x v="0"/>
    <x v="8"/>
    <x v="5"/>
  </r>
  <r>
    <x v="59"/>
    <s v="Stacy Jensen"/>
    <x v="0"/>
    <n v="5"/>
    <n v="283"/>
    <n v="1415"/>
    <x v="3"/>
    <x v="0"/>
    <x v="8"/>
    <x v="5"/>
  </r>
  <r>
    <x v="59"/>
    <s v="Robert Jones"/>
    <x v="1"/>
    <n v="5"/>
    <n v="570"/>
    <n v="2850"/>
    <x v="5"/>
    <x v="0"/>
    <x v="8"/>
    <x v="5"/>
  </r>
  <r>
    <x v="18"/>
    <s v="Jennifer Frazier"/>
    <x v="6"/>
    <n v="5"/>
    <n v="365"/>
    <n v="1825"/>
    <x v="5"/>
    <x v="0"/>
    <x v="8"/>
    <x v="0"/>
  </r>
  <r>
    <x v="18"/>
    <s v="Brandon Shepherd"/>
    <x v="9"/>
    <n v="5"/>
    <n v="393"/>
    <n v="1965"/>
    <x v="0"/>
    <x v="0"/>
    <x v="8"/>
    <x v="0"/>
  </r>
  <r>
    <x v="18"/>
    <s v="Gregory Williams"/>
    <x v="4"/>
    <n v="6"/>
    <n v="433"/>
    <n v="2598"/>
    <x v="0"/>
    <x v="0"/>
    <x v="8"/>
    <x v="0"/>
  </r>
  <r>
    <x v="18"/>
    <s v="Jaime Lucas"/>
    <x v="4"/>
    <n v="6"/>
    <n v="719"/>
    <n v="4314"/>
    <x v="3"/>
    <x v="0"/>
    <x v="8"/>
    <x v="0"/>
  </r>
  <r>
    <x v="60"/>
    <s v="Susan Griffin"/>
    <x v="4"/>
    <n v="5"/>
    <n v="767"/>
    <n v="3835"/>
    <x v="3"/>
    <x v="0"/>
    <x v="8"/>
    <x v="2"/>
  </r>
  <r>
    <x v="61"/>
    <s v="Sarah Barton"/>
    <x v="1"/>
    <n v="1"/>
    <n v="704"/>
    <n v="704"/>
    <x v="1"/>
    <x v="0"/>
    <x v="8"/>
    <x v="1"/>
  </r>
  <r>
    <x v="61"/>
    <s v="Diana Sparks"/>
    <x v="0"/>
    <n v="6"/>
    <n v="487"/>
    <n v="2922"/>
    <x v="3"/>
    <x v="0"/>
    <x v="8"/>
    <x v="1"/>
  </r>
  <r>
    <x v="62"/>
    <s v="Adrian Ramirez"/>
    <x v="7"/>
    <n v="1"/>
    <n v="627"/>
    <n v="627"/>
    <x v="4"/>
    <x v="0"/>
    <x v="0"/>
    <x v="3"/>
  </r>
  <r>
    <x v="63"/>
    <s v="Cassandra Brown"/>
    <x v="7"/>
    <n v="1"/>
    <n v="878"/>
    <n v="878"/>
    <x v="2"/>
    <x v="0"/>
    <x v="0"/>
    <x v="4"/>
  </r>
  <r>
    <x v="63"/>
    <s v="Kristen Williamson"/>
    <x v="2"/>
    <n v="5"/>
    <n v="327"/>
    <n v="1635"/>
    <x v="3"/>
    <x v="0"/>
    <x v="0"/>
    <x v="4"/>
  </r>
  <r>
    <x v="19"/>
    <s v="Matthew Davis Jr."/>
    <x v="9"/>
    <n v="4"/>
    <n v="465"/>
    <n v="1860"/>
    <x v="3"/>
    <x v="0"/>
    <x v="0"/>
    <x v="5"/>
  </r>
  <r>
    <x v="64"/>
    <s v="Nathaniel Davis"/>
    <x v="7"/>
    <n v="2"/>
    <n v="808"/>
    <n v="1616"/>
    <x v="2"/>
    <x v="0"/>
    <x v="0"/>
    <x v="0"/>
  </r>
  <r>
    <x v="64"/>
    <s v="Allison Carr"/>
    <x v="1"/>
    <n v="6"/>
    <n v="989"/>
    <n v="5934"/>
    <x v="2"/>
    <x v="0"/>
    <x v="0"/>
    <x v="0"/>
  </r>
  <r>
    <x v="65"/>
    <s v="Chad Cole"/>
    <x v="9"/>
    <n v="4"/>
    <n v="229"/>
    <n v="916"/>
    <x v="3"/>
    <x v="0"/>
    <x v="0"/>
    <x v="1"/>
  </r>
  <r>
    <x v="66"/>
    <s v="David Hall"/>
    <x v="5"/>
    <n v="1"/>
    <n v="454"/>
    <n v="454"/>
    <x v="3"/>
    <x v="0"/>
    <x v="0"/>
    <x v="6"/>
  </r>
  <r>
    <x v="66"/>
    <s v="Alexander Clements"/>
    <x v="2"/>
    <n v="4"/>
    <n v="376"/>
    <n v="1504"/>
    <x v="1"/>
    <x v="0"/>
    <x v="0"/>
    <x v="6"/>
  </r>
  <r>
    <x v="67"/>
    <s v="Catherine Gay"/>
    <x v="6"/>
    <n v="6"/>
    <n v="130"/>
    <n v="780"/>
    <x v="2"/>
    <x v="0"/>
    <x v="0"/>
    <x v="4"/>
  </r>
  <r>
    <x v="67"/>
    <s v="Jason Turner"/>
    <x v="4"/>
    <n v="4"/>
    <n v="273"/>
    <n v="1092"/>
    <x v="5"/>
    <x v="0"/>
    <x v="0"/>
    <x v="4"/>
  </r>
  <r>
    <x v="67"/>
    <s v="Terry Jordan"/>
    <x v="0"/>
    <n v="2"/>
    <n v="873"/>
    <n v="1746"/>
    <x v="1"/>
    <x v="0"/>
    <x v="0"/>
    <x v="4"/>
  </r>
  <r>
    <x v="67"/>
    <s v="Kristi Vaughn"/>
    <x v="1"/>
    <n v="6"/>
    <n v="535"/>
    <n v="3210"/>
    <x v="4"/>
    <x v="0"/>
    <x v="0"/>
    <x v="4"/>
  </r>
  <r>
    <x v="0"/>
    <s v="Larry Lee"/>
    <x v="9"/>
    <n v="3"/>
    <n v="356"/>
    <n v="1068"/>
    <x v="5"/>
    <x v="0"/>
    <x v="0"/>
    <x v="0"/>
  </r>
  <r>
    <x v="0"/>
    <s v="Taylor Jacobson"/>
    <x v="5"/>
    <n v="5"/>
    <n v="500"/>
    <n v="2500"/>
    <x v="3"/>
    <x v="0"/>
    <x v="0"/>
    <x v="0"/>
  </r>
  <r>
    <x v="68"/>
    <s v="Elizabeth Long"/>
    <x v="4"/>
    <n v="1"/>
    <n v="507"/>
    <n v="507"/>
    <x v="2"/>
    <x v="0"/>
    <x v="0"/>
    <x v="2"/>
  </r>
  <r>
    <x v="68"/>
    <s v="Andrea Moore"/>
    <x v="5"/>
    <n v="2"/>
    <n v="843"/>
    <n v="1686"/>
    <x v="4"/>
    <x v="0"/>
    <x v="0"/>
    <x v="2"/>
  </r>
  <r>
    <x v="68"/>
    <s v="Christian Rodriguez DVM"/>
    <x v="6"/>
    <n v="4"/>
    <n v="794"/>
    <n v="3176"/>
    <x v="0"/>
    <x v="0"/>
    <x v="0"/>
    <x v="2"/>
  </r>
  <r>
    <x v="69"/>
    <s v="Jasmine Hancock"/>
    <x v="2"/>
    <n v="6"/>
    <n v="245"/>
    <n v="1470"/>
    <x v="3"/>
    <x v="0"/>
    <x v="0"/>
    <x v="1"/>
  </r>
  <r>
    <x v="69"/>
    <s v="Robert Cooper"/>
    <x v="7"/>
    <n v="4"/>
    <n v="892"/>
    <n v="3568"/>
    <x v="1"/>
    <x v="0"/>
    <x v="0"/>
    <x v="1"/>
  </r>
  <r>
    <x v="70"/>
    <s v="Bryan Ford"/>
    <x v="2"/>
    <n v="6"/>
    <n v="69"/>
    <n v="414"/>
    <x v="4"/>
    <x v="0"/>
    <x v="0"/>
    <x v="3"/>
  </r>
  <r>
    <x v="71"/>
    <s v="Jeremy Nichols"/>
    <x v="3"/>
    <n v="6"/>
    <n v="249"/>
    <n v="1494"/>
    <x v="5"/>
    <x v="0"/>
    <x v="0"/>
    <x v="5"/>
  </r>
  <r>
    <x v="71"/>
    <s v="Vanessa Torres"/>
    <x v="4"/>
    <n v="5"/>
    <n v="834"/>
    <n v="4170"/>
    <x v="1"/>
    <x v="0"/>
    <x v="0"/>
    <x v="5"/>
  </r>
  <r>
    <x v="72"/>
    <s v="Mark Schultz"/>
    <x v="5"/>
    <n v="2"/>
    <n v="466"/>
    <n v="932"/>
    <x v="5"/>
    <x v="0"/>
    <x v="0"/>
    <x v="0"/>
  </r>
  <r>
    <x v="73"/>
    <s v="Miguel Lara"/>
    <x v="2"/>
    <n v="3"/>
    <n v="99"/>
    <n v="297"/>
    <x v="5"/>
    <x v="0"/>
    <x v="0"/>
    <x v="2"/>
  </r>
  <r>
    <x v="73"/>
    <s v="Amy Cox"/>
    <x v="0"/>
    <n v="2"/>
    <n v="749"/>
    <n v="1498"/>
    <x v="2"/>
    <x v="0"/>
    <x v="0"/>
    <x v="2"/>
  </r>
  <r>
    <x v="73"/>
    <s v="Gary Todd"/>
    <x v="8"/>
    <n v="5"/>
    <n v="557"/>
    <n v="2785"/>
    <x v="2"/>
    <x v="0"/>
    <x v="0"/>
    <x v="2"/>
  </r>
  <r>
    <x v="74"/>
    <s v="Heidi Rodriguez"/>
    <x v="0"/>
    <n v="1"/>
    <n v="218"/>
    <n v="218"/>
    <x v="2"/>
    <x v="0"/>
    <x v="0"/>
    <x v="1"/>
  </r>
  <r>
    <x v="74"/>
    <s v="Sydney Lamb"/>
    <x v="4"/>
    <n v="3"/>
    <n v="898"/>
    <n v="2694"/>
    <x v="0"/>
    <x v="0"/>
    <x v="0"/>
    <x v="1"/>
  </r>
  <r>
    <x v="74"/>
    <s v="Ronald Howard"/>
    <x v="0"/>
    <n v="6"/>
    <n v="641"/>
    <n v="3846"/>
    <x v="5"/>
    <x v="0"/>
    <x v="0"/>
    <x v="1"/>
  </r>
  <r>
    <x v="74"/>
    <s v="Gregory Thornton"/>
    <x v="2"/>
    <n v="6"/>
    <n v="966"/>
    <n v="5796"/>
    <x v="1"/>
    <x v="0"/>
    <x v="0"/>
    <x v="1"/>
  </r>
  <r>
    <x v="75"/>
    <s v="Michelle Allen"/>
    <x v="5"/>
    <n v="5"/>
    <n v="227"/>
    <n v="1135"/>
    <x v="1"/>
    <x v="0"/>
    <x v="0"/>
    <x v="6"/>
  </r>
  <r>
    <x v="76"/>
    <s v="Richard Moore"/>
    <x v="2"/>
    <n v="1"/>
    <n v="246"/>
    <n v="246"/>
    <x v="5"/>
    <x v="0"/>
    <x v="0"/>
    <x v="4"/>
  </r>
  <r>
    <x v="76"/>
    <s v="Ryan Little"/>
    <x v="0"/>
    <n v="4"/>
    <n v="577"/>
    <n v="2308"/>
    <x v="2"/>
    <x v="0"/>
    <x v="0"/>
    <x v="4"/>
  </r>
  <r>
    <x v="77"/>
    <s v="Paul Oliver"/>
    <x v="2"/>
    <n v="2"/>
    <n v="443"/>
    <n v="886"/>
    <x v="5"/>
    <x v="0"/>
    <x v="0"/>
    <x v="5"/>
  </r>
  <r>
    <x v="78"/>
    <s v="Robert Carroll"/>
    <x v="0"/>
    <n v="5"/>
    <n v="101"/>
    <n v="505"/>
    <x v="1"/>
    <x v="0"/>
    <x v="0"/>
    <x v="0"/>
  </r>
  <r>
    <x v="4"/>
    <s v="Kevin Rhodes"/>
    <x v="6"/>
    <n v="4"/>
    <n v="515"/>
    <n v="2060"/>
    <x v="5"/>
    <x v="0"/>
    <x v="0"/>
    <x v="2"/>
  </r>
  <r>
    <x v="79"/>
    <s v="Mark Hart"/>
    <x v="2"/>
    <n v="3"/>
    <n v="276"/>
    <n v="828"/>
    <x v="2"/>
    <x v="0"/>
    <x v="0"/>
    <x v="1"/>
  </r>
  <r>
    <x v="79"/>
    <s v="Eric Rojas III"/>
    <x v="6"/>
    <n v="3"/>
    <n v="679"/>
    <n v="2037"/>
    <x v="3"/>
    <x v="0"/>
    <x v="0"/>
    <x v="1"/>
  </r>
  <r>
    <x v="79"/>
    <s v="Denise Barry"/>
    <x v="4"/>
    <n v="6"/>
    <n v="770"/>
    <n v="4620"/>
    <x v="5"/>
    <x v="0"/>
    <x v="0"/>
    <x v="1"/>
  </r>
  <r>
    <x v="80"/>
    <s v="Robin Thornton"/>
    <x v="8"/>
    <n v="4"/>
    <n v="116"/>
    <n v="464"/>
    <x v="4"/>
    <x v="0"/>
    <x v="0"/>
    <x v="6"/>
  </r>
  <r>
    <x v="81"/>
    <s v="Paul Stevens"/>
    <x v="4"/>
    <n v="4"/>
    <n v="228"/>
    <n v="912"/>
    <x v="0"/>
    <x v="0"/>
    <x v="1"/>
    <x v="4"/>
  </r>
  <r>
    <x v="81"/>
    <s v="Lisa Lewis"/>
    <x v="8"/>
    <n v="2"/>
    <n v="947"/>
    <n v="1894"/>
    <x v="2"/>
    <x v="0"/>
    <x v="1"/>
    <x v="4"/>
  </r>
  <r>
    <x v="1"/>
    <s v="Kevin Spencer"/>
    <x v="0"/>
    <n v="1"/>
    <n v="533"/>
    <n v="533"/>
    <x v="4"/>
    <x v="0"/>
    <x v="1"/>
    <x v="0"/>
  </r>
  <r>
    <x v="1"/>
    <s v="Tyler Smith"/>
    <x v="6"/>
    <n v="2"/>
    <n v="813"/>
    <n v="1626"/>
    <x v="1"/>
    <x v="0"/>
    <x v="1"/>
    <x v="0"/>
  </r>
  <r>
    <x v="1"/>
    <s v="Jessica Johnson MD"/>
    <x v="0"/>
    <n v="6"/>
    <n v="817"/>
    <n v="4902"/>
    <x v="2"/>
    <x v="0"/>
    <x v="1"/>
    <x v="0"/>
  </r>
  <r>
    <x v="82"/>
    <s v="James Horton"/>
    <x v="6"/>
    <n v="5"/>
    <n v="878"/>
    <n v="4390"/>
    <x v="3"/>
    <x v="0"/>
    <x v="1"/>
    <x v="2"/>
  </r>
  <r>
    <x v="83"/>
    <s v="Dr. Donna Moody DVM"/>
    <x v="6"/>
    <n v="4"/>
    <n v="506"/>
    <n v="2024"/>
    <x v="5"/>
    <x v="0"/>
    <x v="1"/>
    <x v="6"/>
  </r>
  <r>
    <x v="84"/>
    <s v="Nathaniel Chen"/>
    <x v="8"/>
    <n v="2"/>
    <n v="803"/>
    <n v="1606"/>
    <x v="3"/>
    <x v="0"/>
    <x v="1"/>
    <x v="3"/>
  </r>
  <r>
    <x v="85"/>
    <s v="Stacy Michael DDS"/>
    <x v="8"/>
    <n v="3"/>
    <n v="540"/>
    <n v="1620"/>
    <x v="2"/>
    <x v="0"/>
    <x v="1"/>
    <x v="4"/>
  </r>
  <r>
    <x v="86"/>
    <s v="Timothy Holmes"/>
    <x v="1"/>
    <n v="3"/>
    <n v="81"/>
    <n v="243"/>
    <x v="1"/>
    <x v="0"/>
    <x v="1"/>
    <x v="5"/>
  </r>
  <r>
    <x v="86"/>
    <s v="Keith Thomas"/>
    <x v="6"/>
    <n v="5"/>
    <n v="133"/>
    <n v="665"/>
    <x v="3"/>
    <x v="0"/>
    <x v="1"/>
    <x v="5"/>
  </r>
  <r>
    <x v="86"/>
    <s v="Hannah Brown"/>
    <x v="8"/>
    <n v="5"/>
    <n v="785"/>
    <n v="3925"/>
    <x v="1"/>
    <x v="0"/>
    <x v="1"/>
    <x v="5"/>
  </r>
  <r>
    <x v="87"/>
    <s v="Dr. Samantha Davis"/>
    <x v="3"/>
    <n v="3"/>
    <n v="124"/>
    <n v="372"/>
    <x v="3"/>
    <x v="0"/>
    <x v="1"/>
    <x v="0"/>
  </r>
  <r>
    <x v="87"/>
    <s v="Taylor Pierce"/>
    <x v="6"/>
    <n v="5"/>
    <n v="247"/>
    <n v="1235"/>
    <x v="0"/>
    <x v="0"/>
    <x v="1"/>
    <x v="0"/>
  </r>
  <r>
    <x v="87"/>
    <s v="Michelle Gutierrez"/>
    <x v="4"/>
    <n v="2"/>
    <n v="770"/>
    <n v="1540"/>
    <x v="4"/>
    <x v="0"/>
    <x v="1"/>
    <x v="0"/>
  </r>
  <r>
    <x v="88"/>
    <s v="Sherri Hamilton"/>
    <x v="6"/>
    <n v="5"/>
    <n v="175"/>
    <n v="875"/>
    <x v="1"/>
    <x v="0"/>
    <x v="1"/>
    <x v="2"/>
  </r>
  <r>
    <x v="88"/>
    <s v="Justin Wilkins"/>
    <x v="8"/>
    <n v="5"/>
    <n v="661"/>
    <n v="3305"/>
    <x v="3"/>
    <x v="0"/>
    <x v="1"/>
    <x v="2"/>
  </r>
  <r>
    <x v="89"/>
    <s v="Eric Ward"/>
    <x v="0"/>
    <n v="3"/>
    <n v="537"/>
    <n v="1611"/>
    <x v="4"/>
    <x v="0"/>
    <x v="1"/>
    <x v="1"/>
  </r>
  <r>
    <x v="89"/>
    <s v="Matthew Thomas"/>
    <x v="5"/>
    <n v="5"/>
    <n v="455"/>
    <n v="2275"/>
    <x v="3"/>
    <x v="0"/>
    <x v="1"/>
    <x v="1"/>
  </r>
  <r>
    <x v="89"/>
    <s v="Erin Ayala"/>
    <x v="4"/>
    <n v="5"/>
    <n v="739"/>
    <n v="3695"/>
    <x v="2"/>
    <x v="0"/>
    <x v="1"/>
    <x v="1"/>
  </r>
  <r>
    <x v="90"/>
    <s v="Holly Armstrong"/>
    <x v="5"/>
    <n v="1"/>
    <n v="943"/>
    <n v="943"/>
    <x v="5"/>
    <x v="0"/>
    <x v="1"/>
    <x v="6"/>
  </r>
  <r>
    <x v="90"/>
    <s v="Sara Butler"/>
    <x v="2"/>
    <n v="2"/>
    <n v="601"/>
    <n v="1202"/>
    <x v="5"/>
    <x v="0"/>
    <x v="1"/>
    <x v="6"/>
  </r>
  <r>
    <x v="90"/>
    <s v="David Gould"/>
    <x v="4"/>
    <n v="6"/>
    <n v="442"/>
    <n v="2652"/>
    <x v="4"/>
    <x v="0"/>
    <x v="1"/>
    <x v="6"/>
  </r>
  <r>
    <x v="91"/>
    <s v="Austin Johnson"/>
    <x v="5"/>
    <n v="3"/>
    <n v="870"/>
    <n v="2610"/>
    <x v="3"/>
    <x v="0"/>
    <x v="1"/>
    <x v="4"/>
  </r>
  <r>
    <x v="92"/>
    <s v="Dr. Christopher Miller MD"/>
    <x v="3"/>
    <n v="4"/>
    <n v="58"/>
    <n v="232"/>
    <x v="2"/>
    <x v="0"/>
    <x v="1"/>
    <x v="5"/>
  </r>
  <r>
    <x v="93"/>
    <s v="Veronica Davidson"/>
    <x v="0"/>
    <n v="1"/>
    <n v="262"/>
    <n v="262"/>
    <x v="5"/>
    <x v="0"/>
    <x v="1"/>
    <x v="0"/>
  </r>
  <r>
    <x v="93"/>
    <s v="Natasha Aguilar"/>
    <x v="7"/>
    <n v="2"/>
    <n v="510"/>
    <n v="1020"/>
    <x v="2"/>
    <x v="0"/>
    <x v="1"/>
    <x v="0"/>
  </r>
  <r>
    <x v="93"/>
    <s v="Taylor Graham"/>
    <x v="6"/>
    <n v="5"/>
    <n v="344"/>
    <n v="1720"/>
    <x v="0"/>
    <x v="0"/>
    <x v="1"/>
    <x v="0"/>
  </r>
  <r>
    <x v="94"/>
    <s v="Jordan Clark"/>
    <x v="6"/>
    <n v="2"/>
    <n v="865"/>
    <n v="1730"/>
    <x v="1"/>
    <x v="0"/>
    <x v="1"/>
    <x v="2"/>
  </r>
  <r>
    <x v="95"/>
    <s v="Douglas Cooper"/>
    <x v="2"/>
    <n v="2"/>
    <n v="64"/>
    <n v="128"/>
    <x v="3"/>
    <x v="0"/>
    <x v="1"/>
    <x v="1"/>
  </r>
  <r>
    <x v="96"/>
    <s v="Sean Pittman"/>
    <x v="2"/>
    <n v="1"/>
    <n v="182"/>
    <n v="182"/>
    <x v="2"/>
    <x v="0"/>
    <x v="1"/>
    <x v="6"/>
  </r>
  <r>
    <x v="96"/>
    <s v="Joanna Nolan"/>
    <x v="8"/>
    <n v="4"/>
    <n v="493"/>
    <n v="1972"/>
    <x v="1"/>
    <x v="0"/>
    <x v="1"/>
    <x v="6"/>
  </r>
  <r>
    <x v="96"/>
    <s v="Jacob Harmon"/>
    <x v="2"/>
    <n v="3"/>
    <n v="836"/>
    <n v="2508"/>
    <x v="5"/>
    <x v="0"/>
    <x v="1"/>
    <x v="6"/>
  </r>
  <r>
    <x v="97"/>
    <s v="Bryan Booth"/>
    <x v="7"/>
    <n v="3"/>
    <n v="321"/>
    <n v="963"/>
    <x v="0"/>
    <x v="0"/>
    <x v="1"/>
    <x v="3"/>
  </r>
  <r>
    <x v="97"/>
    <s v="Judy Griffin"/>
    <x v="3"/>
    <n v="6"/>
    <n v="675"/>
    <n v="4050"/>
    <x v="0"/>
    <x v="0"/>
    <x v="1"/>
    <x v="3"/>
  </r>
  <r>
    <x v="98"/>
    <s v="Taylor Walker"/>
    <x v="8"/>
    <n v="2"/>
    <n v="864"/>
    <n v="1728"/>
    <x v="2"/>
    <x v="0"/>
    <x v="1"/>
    <x v="4"/>
  </r>
  <r>
    <x v="98"/>
    <s v="Mitchell Barnes"/>
    <x v="3"/>
    <n v="6"/>
    <n v="642"/>
    <n v="3852"/>
    <x v="2"/>
    <x v="0"/>
    <x v="1"/>
    <x v="4"/>
  </r>
  <r>
    <x v="99"/>
    <s v="David Ball"/>
    <x v="5"/>
    <n v="1"/>
    <n v="190"/>
    <n v="190"/>
    <x v="3"/>
    <x v="0"/>
    <x v="1"/>
    <x v="5"/>
  </r>
  <r>
    <x v="99"/>
    <s v="Travis Jennings"/>
    <x v="0"/>
    <n v="2"/>
    <n v="863"/>
    <n v="1726"/>
    <x v="1"/>
    <x v="0"/>
    <x v="1"/>
    <x v="5"/>
  </r>
  <r>
    <x v="100"/>
    <s v="Jennifer Smith"/>
    <x v="0"/>
    <n v="2"/>
    <n v="561"/>
    <n v="1122"/>
    <x v="2"/>
    <x v="0"/>
    <x v="1"/>
    <x v="0"/>
  </r>
  <r>
    <x v="101"/>
    <s v="Dana Padilla"/>
    <x v="5"/>
    <n v="1"/>
    <n v="355"/>
    <n v="355"/>
    <x v="4"/>
    <x v="0"/>
    <x v="1"/>
    <x v="2"/>
  </r>
  <r>
    <x v="101"/>
    <s v="Jose Frazier"/>
    <x v="8"/>
    <n v="6"/>
    <n v="190"/>
    <n v="1140"/>
    <x v="3"/>
    <x v="0"/>
    <x v="1"/>
    <x v="2"/>
  </r>
  <r>
    <x v="102"/>
    <s v="Christopher Roberts"/>
    <x v="3"/>
    <n v="2"/>
    <n v="371"/>
    <n v="742"/>
    <x v="3"/>
    <x v="0"/>
    <x v="1"/>
    <x v="1"/>
  </r>
  <r>
    <x v="102"/>
    <s v="Mr. William Baker"/>
    <x v="5"/>
    <n v="6"/>
    <n v="457"/>
    <n v="2742"/>
    <x v="5"/>
    <x v="0"/>
    <x v="1"/>
    <x v="1"/>
  </r>
  <r>
    <x v="103"/>
    <s v="Carl Martin"/>
    <x v="2"/>
    <n v="2"/>
    <n v="162"/>
    <n v="324"/>
    <x v="0"/>
    <x v="0"/>
    <x v="1"/>
    <x v="3"/>
  </r>
  <r>
    <x v="103"/>
    <s v="Veronica Hall"/>
    <x v="0"/>
    <n v="4"/>
    <n v="784"/>
    <n v="3136"/>
    <x v="5"/>
    <x v="0"/>
    <x v="1"/>
    <x v="3"/>
  </r>
  <r>
    <x v="104"/>
    <s v="Alec Gonzalez"/>
    <x v="6"/>
    <n v="3"/>
    <n v="988"/>
    <n v="2964"/>
    <x v="0"/>
    <x v="0"/>
    <x v="1"/>
    <x v="4"/>
  </r>
  <r>
    <x v="105"/>
    <s v="Brittany Payne"/>
    <x v="9"/>
    <n v="3"/>
    <n v="87"/>
    <n v="261"/>
    <x v="2"/>
    <x v="0"/>
    <x v="2"/>
    <x v="2"/>
  </r>
  <r>
    <x v="105"/>
    <s v="Andrew Weiss"/>
    <x v="3"/>
    <n v="1"/>
    <n v="596"/>
    <n v="596"/>
    <x v="1"/>
    <x v="0"/>
    <x v="2"/>
    <x v="2"/>
  </r>
  <r>
    <x v="105"/>
    <s v="Terry Wilson"/>
    <x v="3"/>
    <n v="3"/>
    <n v="991"/>
    <n v="2973"/>
    <x v="3"/>
    <x v="0"/>
    <x v="2"/>
    <x v="2"/>
  </r>
  <r>
    <x v="106"/>
    <s v="James Pacheco"/>
    <x v="3"/>
    <n v="4"/>
    <n v="445"/>
    <n v="1780"/>
    <x v="0"/>
    <x v="0"/>
    <x v="2"/>
    <x v="6"/>
  </r>
  <r>
    <x v="107"/>
    <s v="Deborah Davis"/>
    <x v="5"/>
    <n v="3"/>
    <n v="352"/>
    <n v="1056"/>
    <x v="2"/>
    <x v="0"/>
    <x v="2"/>
    <x v="3"/>
  </r>
  <r>
    <x v="108"/>
    <s v="Brian Lowe"/>
    <x v="0"/>
    <n v="1"/>
    <n v="427"/>
    <n v="427"/>
    <x v="1"/>
    <x v="0"/>
    <x v="2"/>
    <x v="4"/>
  </r>
  <r>
    <x v="108"/>
    <s v="David Miller"/>
    <x v="7"/>
    <n v="5"/>
    <n v="186"/>
    <n v="930"/>
    <x v="1"/>
    <x v="0"/>
    <x v="2"/>
    <x v="4"/>
  </r>
  <r>
    <x v="109"/>
    <s v="Gina Coleman"/>
    <x v="7"/>
    <n v="1"/>
    <n v="404"/>
    <n v="404"/>
    <x v="4"/>
    <x v="0"/>
    <x v="2"/>
    <x v="5"/>
  </r>
  <r>
    <x v="109"/>
    <s v="Jim Moyer"/>
    <x v="0"/>
    <n v="4"/>
    <n v="130"/>
    <n v="520"/>
    <x v="4"/>
    <x v="0"/>
    <x v="2"/>
    <x v="5"/>
  </r>
  <r>
    <x v="109"/>
    <s v="Mrs. Erin Buckley"/>
    <x v="2"/>
    <n v="2"/>
    <n v="527"/>
    <n v="1054"/>
    <x v="5"/>
    <x v="0"/>
    <x v="2"/>
    <x v="5"/>
  </r>
  <r>
    <x v="110"/>
    <s v="Carl Dawson"/>
    <x v="7"/>
    <n v="5"/>
    <n v="222"/>
    <n v="1110"/>
    <x v="2"/>
    <x v="0"/>
    <x v="2"/>
    <x v="0"/>
  </r>
  <r>
    <x v="110"/>
    <s v="Carlos Aguilar"/>
    <x v="0"/>
    <n v="3"/>
    <n v="897"/>
    <n v="2691"/>
    <x v="5"/>
    <x v="0"/>
    <x v="2"/>
    <x v="0"/>
  </r>
  <r>
    <x v="110"/>
    <s v="Emily Garcia"/>
    <x v="9"/>
    <n v="6"/>
    <n v="893"/>
    <n v="5358"/>
    <x v="3"/>
    <x v="0"/>
    <x v="2"/>
    <x v="0"/>
  </r>
  <r>
    <x v="33"/>
    <s v="Amy Reynolds"/>
    <x v="2"/>
    <n v="2"/>
    <n v="342"/>
    <n v="684"/>
    <x v="3"/>
    <x v="0"/>
    <x v="2"/>
    <x v="2"/>
  </r>
  <r>
    <x v="33"/>
    <s v="Michele Cooper"/>
    <x v="9"/>
    <n v="2"/>
    <n v="555"/>
    <n v="1110"/>
    <x v="4"/>
    <x v="0"/>
    <x v="2"/>
    <x v="2"/>
  </r>
  <r>
    <x v="111"/>
    <s v="Jennifer Lopez"/>
    <x v="4"/>
    <n v="3"/>
    <n v="405"/>
    <n v="1215"/>
    <x v="5"/>
    <x v="0"/>
    <x v="2"/>
    <x v="1"/>
  </r>
  <r>
    <x v="112"/>
    <s v="Maria Rich"/>
    <x v="0"/>
    <n v="1"/>
    <n v="680"/>
    <n v="680"/>
    <x v="2"/>
    <x v="0"/>
    <x v="2"/>
    <x v="6"/>
  </r>
  <r>
    <x v="113"/>
    <s v="Richard Fisher"/>
    <x v="2"/>
    <n v="3"/>
    <n v="469"/>
    <n v="1407"/>
    <x v="2"/>
    <x v="0"/>
    <x v="2"/>
    <x v="0"/>
  </r>
  <r>
    <x v="2"/>
    <s v="Ana Andrade"/>
    <x v="7"/>
    <n v="3"/>
    <n v="636"/>
    <n v="1908"/>
    <x v="1"/>
    <x v="0"/>
    <x v="2"/>
    <x v="1"/>
  </r>
  <r>
    <x v="2"/>
    <s v="Matthew Turner"/>
    <x v="0"/>
    <n v="6"/>
    <n v="983"/>
    <n v="5898"/>
    <x v="4"/>
    <x v="0"/>
    <x v="2"/>
    <x v="1"/>
  </r>
  <r>
    <x v="114"/>
    <s v="Rachel Mccall"/>
    <x v="3"/>
    <n v="4"/>
    <n v="520"/>
    <n v="2080"/>
    <x v="1"/>
    <x v="0"/>
    <x v="2"/>
    <x v="3"/>
  </r>
  <r>
    <x v="115"/>
    <s v="Christopher Simmons"/>
    <x v="5"/>
    <n v="2"/>
    <n v="484"/>
    <n v="968"/>
    <x v="0"/>
    <x v="0"/>
    <x v="2"/>
    <x v="5"/>
  </r>
  <r>
    <x v="116"/>
    <s v="Adam Finley"/>
    <x v="4"/>
    <n v="5"/>
    <n v="577"/>
    <n v="2885"/>
    <x v="4"/>
    <x v="0"/>
    <x v="2"/>
    <x v="0"/>
  </r>
  <r>
    <x v="116"/>
    <s v="Marcus Rose"/>
    <x v="2"/>
    <n v="6"/>
    <n v="923"/>
    <n v="5538"/>
    <x v="4"/>
    <x v="0"/>
    <x v="2"/>
    <x v="0"/>
  </r>
  <r>
    <x v="117"/>
    <s v="James Taylor"/>
    <x v="5"/>
    <n v="5"/>
    <n v="113"/>
    <n v="565"/>
    <x v="5"/>
    <x v="0"/>
    <x v="2"/>
    <x v="2"/>
  </r>
  <r>
    <x v="117"/>
    <s v="Ryan Phillips"/>
    <x v="8"/>
    <n v="3"/>
    <n v="224"/>
    <n v="672"/>
    <x v="3"/>
    <x v="0"/>
    <x v="2"/>
    <x v="2"/>
  </r>
  <r>
    <x v="118"/>
    <s v="Sara Tate"/>
    <x v="0"/>
    <n v="1"/>
    <n v="934"/>
    <n v="934"/>
    <x v="1"/>
    <x v="0"/>
    <x v="2"/>
    <x v="1"/>
  </r>
  <r>
    <x v="119"/>
    <s v="Jacqueline Hall"/>
    <x v="5"/>
    <n v="3"/>
    <n v="59"/>
    <n v="177"/>
    <x v="1"/>
    <x v="0"/>
    <x v="2"/>
    <x v="6"/>
  </r>
  <r>
    <x v="119"/>
    <s v="David Barajas"/>
    <x v="0"/>
    <n v="2"/>
    <n v="716"/>
    <n v="1432"/>
    <x v="3"/>
    <x v="0"/>
    <x v="2"/>
    <x v="6"/>
  </r>
  <r>
    <x v="34"/>
    <s v="Joshua Perez"/>
    <x v="1"/>
    <n v="1"/>
    <n v="213"/>
    <n v="213"/>
    <x v="5"/>
    <x v="0"/>
    <x v="2"/>
    <x v="0"/>
  </r>
  <r>
    <x v="120"/>
    <s v="Russell Benson"/>
    <x v="4"/>
    <n v="5"/>
    <n v="706"/>
    <n v="3530"/>
    <x v="1"/>
    <x v="0"/>
    <x v="2"/>
    <x v="2"/>
  </r>
  <r>
    <x v="121"/>
    <s v="Tiffany Whitney"/>
    <x v="5"/>
    <n v="4"/>
    <n v="169"/>
    <n v="676"/>
    <x v="3"/>
    <x v="0"/>
    <x v="9"/>
    <x v="1"/>
  </r>
  <r>
    <x v="121"/>
    <s v="Sarah Schaefer"/>
    <x v="8"/>
    <n v="5"/>
    <n v="726"/>
    <n v="3630"/>
    <x v="0"/>
    <x v="0"/>
    <x v="9"/>
    <x v="1"/>
  </r>
  <r>
    <x v="122"/>
    <s v="Elizabeth Fox"/>
    <x v="1"/>
    <n v="4"/>
    <n v="110"/>
    <n v="440"/>
    <x v="0"/>
    <x v="0"/>
    <x v="9"/>
    <x v="6"/>
  </r>
  <r>
    <x v="122"/>
    <s v="Robert Johnson"/>
    <x v="3"/>
    <n v="6"/>
    <n v="676"/>
    <n v="4056"/>
    <x v="1"/>
    <x v="0"/>
    <x v="9"/>
    <x v="6"/>
  </r>
  <r>
    <x v="123"/>
    <s v="Mr. Michael Barton MD"/>
    <x v="8"/>
    <n v="6"/>
    <n v="170"/>
    <n v="1020"/>
    <x v="4"/>
    <x v="0"/>
    <x v="9"/>
    <x v="3"/>
  </r>
  <r>
    <x v="124"/>
    <s v="Rachel Rhodes"/>
    <x v="8"/>
    <n v="1"/>
    <n v="599"/>
    <n v="599"/>
    <x v="5"/>
    <x v="0"/>
    <x v="9"/>
    <x v="4"/>
  </r>
  <r>
    <x v="124"/>
    <s v="Leah Tucker"/>
    <x v="7"/>
    <n v="2"/>
    <n v="844"/>
    <n v="1688"/>
    <x v="5"/>
    <x v="0"/>
    <x v="9"/>
    <x v="4"/>
  </r>
  <r>
    <x v="124"/>
    <s v="David Drake"/>
    <x v="3"/>
    <n v="6"/>
    <n v="713"/>
    <n v="4278"/>
    <x v="0"/>
    <x v="0"/>
    <x v="9"/>
    <x v="4"/>
  </r>
  <r>
    <x v="125"/>
    <s v="Lisa Nichols"/>
    <x v="9"/>
    <n v="3"/>
    <n v="128"/>
    <n v="384"/>
    <x v="5"/>
    <x v="0"/>
    <x v="9"/>
    <x v="5"/>
  </r>
  <r>
    <x v="126"/>
    <s v="Joseph Mills"/>
    <x v="0"/>
    <n v="1"/>
    <n v="93"/>
    <n v="93"/>
    <x v="3"/>
    <x v="0"/>
    <x v="9"/>
    <x v="1"/>
  </r>
  <r>
    <x v="126"/>
    <s v="Thomas Lambert"/>
    <x v="3"/>
    <n v="2"/>
    <n v="438"/>
    <n v="876"/>
    <x v="3"/>
    <x v="0"/>
    <x v="9"/>
    <x v="1"/>
  </r>
  <r>
    <x v="126"/>
    <s v="Matthew Hall"/>
    <x v="9"/>
    <n v="3"/>
    <n v="768"/>
    <n v="2304"/>
    <x v="1"/>
    <x v="0"/>
    <x v="9"/>
    <x v="1"/>
  </r>
  <r>
    <x v="127"/>
    <s v="Arthur Perez"/>
    <x v="3"/>
    <n v="6"/>
    <n v="170"/>
    <n v="1020"/>
    <x v="2"/>
    <x v="0"/>
    <x v="9"/>
    <x v="3"/>
  </r>
  <r>
    <x v="35"/>
    <s v="Stephanie Davis"/>
    <x v="6"/>
    <n v="1"/>
    <n v="523"/>
    <n v="523"/>
    <x v="5"/>
    <x v="0"/>
    <x v="9"/>
    <x v="4"/>
  </r>
  <r>
    <x v="128"/>
    <s v="Lisa Morgan"/>
    <x v="8"/>
    <n v="2"/>
    <n v="528"/>
    <n v="1056"/>
    <x v="2"/>
    <x v="0"/>
    <x v="9"/>
    <x v="5"/>
  </r>
  <r>
    <x v="128"/>
    <s v="Scott Lawson"/>
    <x v="4"/>
    <n v="3"/>
    <n v="815"/>
    <n v="2445"/>
    <x v="4"/>
    <x v="0"/>
    <x v="9"/>
    <x v="5"/>
  </r>
  <r>
    <x v="128"/>
    <s v="Tammie Miller"/>
    <x v="6"/>
    <n v="5"/>
    <n v="558"/>
    <n v="2790"/>
    <x v="4"/>
    <x v="0"/>
    <x v="9"/>
    <x v="5"/>
  </r>
  <r>
    <x v="128"/>
    <s v="John Olson"/>
    <x v="6"/>
    <n v="4"/>
    <n v="970"/>
    <n v="3880"/>
    <x v="5"/>
    <x v="0"/>
    <x v="9"/>
    <x v="5"/>
  </r>
  <r>
    <x v="129"/>
    <s v="Jason Nelson"/>
    <x v="8"/>
    <n v="6"/>
    <n v="441"/>
    <n v="2646"/>
    <x v="5"/>
    <x v="0"/>
    <x v="9"/>
    <x v="0"/>
  </r>
  <r>
    <x v="130"/>
    <s v="Jacqueline Berry"/>
    <x v="8"/>
    <n v="1"/>
    <n v="796"/>
    <n v="796"/>
    <x v="3"/>
    <x v="0"/>
    <x v="9"/>
    <x v="2"/>
  </r>
  <r>
    <x v="130"/>
    <s v="Crystal Proctor"/>
    <x v="6"/>
    <n v="6"/>
    <n v="636"/>
    <n v="3816"/>
    <x v="3"/>
    <x v="0"/>
    <x v="9"/>
    <x v="2"/>
  </r>
  <r>
    <x v="131"/>
    <s v="Carol Smith"/>
    <x v="6"/>
    <n v="4"/>
    <n v="679"/>
    <n v="2716"/>
    <x v="2"/>
    <x v="0"/>
    <x v="9"/>
    <x v="1"/>
  </r>
  <r>
    <x v="132"/>
    <s v="Anthony Malone"/>
    <x v="4"/>
    <n v="5"/>
    <n v="565"/>
    <n v="2825"/>
    <x v="0"/>
    <x v="0"/>
    <x v="9"/>
    <x v="6"/>
  </r>
  <r>
    <x v="133"/>
    <s v="James Sanders"/>
    <x v="6"/>
    <n v="6"/>
    <n v="236"/>
    <n v="1416"/>
    <x v="5"/>
    <x v="0"/>
    <x v="9"/>
    <x v="3"/>
  </r>
  <r>
    <x v="134"/>
    <s v="Michael Carson"/>
    <x v="3"/>
    <n v="1"/>
    <n v="798"/>
    <n v="798"/>
    <x v="5"/>
    <x v="0"/>
    <x v="9"/>
    <x v="4"/>
  </r>
  <r>
    <x v="134"/>
    <s v="Samuel Chambers"/>
    <x v="2"/>
    <n v="6"/>
    <n v="973"/>
    <n v="5838"/>
    <x v="5"/>
    <x v="0"/>
    <x v="9"/>
    <x v="4"/>
  </r>
  <r>
    <x v="135"/>
    <s v="Wayne Castro"/>
    <x v="6"/>
    <n v="3"/>
    <n v="742"/>
    <n v="2226"/>
    <x v="1"/>
    <x v="0"/>
    <x v="9"/>
    <x v="5"/>
  </r>
  <r>
    <x v="136"/>
    <s v="Jennifer Ruiz"/>
    <x v="9"/>
    <n v="1"/>
    <n v="627"/>
    <n v="627"/>
    <x v="1"/>
    <x v="0"/>
    <x v="9"/>
    <x v="0"/>
  </r>
  <r>
    <x v="136"/>
    <s v="Michael Golden"/>
    <x v="4"/>
    <n v="3"/>
    <n v="529"/>
    <n v="1587"/>
    <x v="5"/>
    <x v="0"/>
    <x v="9"/>
    <x v="0"/>
  </r>
  <r>
    <x v="136"/>
    <s v="Jeremy Ramos"/>
    <x v="7"/>
    <n v="3"/>
    <n v="735"/>
    <n v="2205"/>
    <x v="4"/>
    <x v="0"/>
    <x v="9"/>
    <x v="0"/>
  </r>
  <r>
    <x v="137"/>
    <s v="Michael Johnson"/>
    <x v="3"/>
    <n v="1"/>
    <n v="385"/>
    <n v="385"/>
    <x v="5"/>
    <x v="0"/>
    <x v="9"/>
    <x v="1"/>
  </r>
  <r>
    <x v="137"/>
    <s v="Teresa Parker"/>
    <x v="4"/>
    <n v="6"/>
    <n v="532"/>
    <n v="3192"/>
    <x v="4"/>
    <x v="0"/>
    <x v="9"/>
    <x v="1"/>
  </r>
  <r>
    <x v="138"/>
    <s v="Anna Drake"/>
    <x v="5"/>
    <n v="1"/>
    <n v="82"/>
    <n v="82"/>
    <x v="1"/>
    <x v="0"/>
    <x v="9"/>
    <x v="6"/>
  </r>
  <r>
    <x v="138"/>
    <s v="David Gonzalez"/>
    <x v="7"/>
    <n v="5"/>
    <n v="719"/>
    <n v="3595"/>
    <x v="1"/>
    <x v="0"/>
    <x v="9"/>
    <x v="6"/>
  </r>
  <r>
    <x v="138"/>
    <s v="Andrew Cook"/>
    <x v="6"/>
    <n v="4"/>
    <n v="930"/>
    <n v="3720"/>
    <x v="1"/>
    <x v="0"/>
    <x v="9"/>
    <x v="6"/>
  </r>
  <r>
    <x v="139"/>
    <s v="Brian Hernandez"/>
    <x v="4"/>
    <n v="1"/>
    <n v="79"/>
    <n v="79"/>
    <x v="3"/>
    <x v="0"/>
    <x v="9"/>
    <x v="3"/>
  </r>
  <r>
    <x v="140"/>
    <s v="Samantha Sanders"/>
    <x v="7"/>
    <n v="5"/>
    <n v="320"/>
    <n v="1600"/>
    <x v="5"/>
    <x v="0"/>
    <x v="9"/>
    <x v="4"/>
  </r>
  <r>
    <x v="141"/>
    <s v="Vanessa Hudson"/>
    <x v="5"/>
    <n v="1"/>
    <n v="147"/>
    <n v="147"/>
    <x v="5"/>
    <x v="0"/>
    <x v="9"/>
    <x v="5"/>
  </r>
  <r>
    <x v="36"/>
    <s v="Garrett Gill"/>
    <x v="9"/>
    <n v="1"/>
    <n v="681"/>
    <n v="681"/>
    <x v="2"/>
    <x v="0"/>
    <x v="9"/>
    <x v="0"/>
  </r>
  <r>
    <x v="36"/>
    <s v="David Hunter"/>
    <x v="8"/>
    <n v="6"/>
    <n v="704"/>
    <n v="4224"/>
    <x v="5"/>
    <x v="0"/>
    <x v="9"/>
    <x v="0"/>
  </r>
  <r>
    <x v="142"/>
    <s v="Jonathan Kelly"/>
    <x v="6"/>
    <n v="6"/>
    <n v="661"/>
    <n v="3966"/>
    <x v="1"/>
    <x v="0"/>
    <x v="9"/>
    <x v="2"/>
  </r>
  <r>
    <x v="143"/>
    <s v="Catherine Vega"/>
    <x v="7"/>
    <n v="4"/>
    <n v="917"/>
    <n v="3668"/>
    <x v="3"/>
    <x v="0"/>
    <x v="9"/>
    <x v="1"/>
  </r>
  <r>
    <x v="144"/>
    <s v="Chad Johnson"/>
    <x v="9"/>
    <n v="2"/>
    <n v="432"/>
    <n v="864"/>
    <x v="3"/>
    <x v="0"/>
    <x v="9"/>
    <x v="3"/>
  </r>
  <r>
    <x v="145"/>
    <s v="Brent Dennis"/>
    <x v="0"/>
    <n v="2"/>
    <n v="232"/>
    <n v="464"/>
    <x v="4"/>
    <x v="0"/>
    <x v="10"/>
    <x v="4"/>
  </r>
  <r>
    <x v="145"/>
    <s v="Thomas West"/>
    <x v="0"/>
    <n v="6"/>
    <n v="181"/>
    <n v="1086"/>
    <x v="5"/>
    <x v="0"/>
    <x v="10"/>
    <x v="4"/>
  </r>
  <r>
    <x v="145"/>
    <s v="Stephen Mahoney"/>
    <x v="6"/>
    <n v="3"/>
    <n v="754"/>
    <n v="2262"/>
    <x v="1"/>
    <x v="0"/>
    <x v="10"/>
    <x v="4"/>
  </r>
  <r>
    <x v="146"/>
    <s v="Linda Simpson"/>
    <x v="0"/>
    <n v="1"/>
    <n v="382"/>
    <n v="382"/>
    <x v="0"/>
    <x v="0"/>
    <x v="10"/>
    <x v="0"/>
  </r>
  <r>
    <x v="146"/>
    <s v="Dana Olson"/>
    <x v="4"/>
    <n v="3"/>
    <n v="719"/>
    <n v="2157"/>
    <x v="2"/>
    <x v="0"/>
    <x v="10"/>
    <x v="0"/>
  </r>
  <r>
    <x v="146"/>
    <s v="Amanda Palmer"/>
    <x v="1"/>
    <n v="6"/>
    <n v="531"/>
    <n v="3186"/>
    <x v="3"/>
    <x v="0"/>
    <x v="10"/>
    <x v="0"/>
  </r>
  <r>
    <x v="147"/>
    <s v="Melissa Rodriguez"/>
    <x v="3"/>
    <n v="2"/>
    <n v="962"/>
    <n v="1924"/>
    <x v="5"/>
    <x v="0"/>
    <x v="10"/>
    <x v="2"/>
  </r>
  <r>
    <x v="147"/>
    <s v="Lori Cruz"/>
    <x v="9"/>
    <n v="5"/>
    <n v="803"/>
    <n v="4015"/>
    <x v="0"/>
    <x v="0"/>
    <x v="10"/>
    <x v="2"/>
  </r>
  <r>
    <x v="148"/>
    <s v="Robert Snyder"/>
    <x v="5"/>
    <n v="1"/>
    <n v="387"/>
    <n v="387"/>
    <x v="3"/>
    <x v="0"/>
    <x v="10"/>
    <x v="1"/>
  </r>
  <r>
    <x v="149"/>
    <s v="Jonathan Mccoy"/>
    <x v="2"/>
    <n v="1"/>
    <n v="964"/>
    <n v="964"/>
    <x v="2"/>
    <x v="0"/>
    <x v="10"/>
    <x v="3"/>
  </r>
  <r>
    <x v="150"/>
    <s v="Linda Hughes"/>
    <x v="2"/>
    <n v="6"/>
    <n v="73"/>
    <n v="438"/>
    <x v="2"/>
    <x v="0"/>
    <x v="10"/>
    <x v="0"/>
  </r>
  <r>
    <x v="151"/>
    <s v="David Velasquez Jr."/>
    <x v="2"/>
    <n v="2"/>
    <n v="162"/>
    <n v="324"/>
    <x v="5"/>
    <x v="0"/>
    <x v="10"/>
    <x v="2"/>
  </r>
  <r>
    <x v="151"/>
    <s v="Charles Cole"/>
    <x v="5"/>
    <n v="2"/>
    <n v="476"/>
    <n v="952"/>
    <x v="0"/>
    <x v="0"/>
    <x v="10"/>
    <x v="2"/>
  </r>
  <r>
    <x v="151"/>
    <s v="Diamond Gillespie"/>
    <x v="7"/>
    <n v="5"/>
    <n v="484"/>
    <n v="2420"/>
    <x v="5"/>
    <x v="0"/>
    <x v="10"/>
    <x v="2"/>
  </r>
  <r>
    <x v="152"/>
    <s v="Laura Franklin"/>
    <x v="3"/>
    <n v="2"/>
    <n v="310"/>
    <n v="620"/>
    <x v="4"/>
    <x v="0"/>
    <x v="10"/>
    <x v="1"/>
  </r>
  <r>
    <x v="152"/>
    <s v="Arthur Lee"/>
    <x v="0"/>
    <n v="4"/>
    <n v="365"/>
    <n v="1460"/>
    <x v="5"/>
    <x v="0"/>
    <x v="10"/>
    <x v="1"/>
  </r>
  <r>
    <x v="152"/>
    <s v="Timothy Daugherty"/>
    <x v="7"/>
    <n v="4"/>
    <n v="843"/>
    <n v="3372"/>
    <x v="2"/>
    <x v="0"/>
    <x v="10"/>
    <x v="1"/>
  </r>
  <r>
    <x v="153"/>
    <s v="Mr. Peter Hernandez"/>
    <x v="5"/>
    <n v="3"/>
    <n v="344"/>
    <n v="1032"/>
    <x v="5"/>
    <x v="0"/>
    <x v="10"/>
    <x v="6"/>
  </r>
  <r>
    <x v="153"/>
    <s v="Lauren Davis"/>
    <x v="3"/>
    <n v="6"/>
    <n v="676"/>
    <n v="4056"/>
    <x v="2"/>
    <x v="0"/>
    <x v="10"/>
    <x v="6"/>
  </r>
  <r>
    <x v="154"/>
    <s v="Jacob Watkins"/>
    <x v="9"/>
    <n v="3"/>
    <n v="346"/>
    <n v="1038"/>
    <x v="0"/>
    <x v="0"/>
    <x v="10"/>
    <x v="3"/>
  </r>
  <r>
    <x v="154"/>
    <s v="Tiffany Ramos"/>
    <x v="2"/>
    <n v="6"/>
    <n v="291"/>
    <n v="1746"/>
    <x v="5"/>
    <x v="0"/>
    <x v="10"/>
    <x v="3"/>
  </r>
  <r>
    <x v="155"/>
    <s v="Christopher Johnson"/>
    <x v="6"/>
    <n v="3"/>
    <n v="193"/>
    <n v="579"/>
    <x v="0"/>
    <x v="0"/>
    <x v="10"/>
    <x v="5"/>
  </r>
  <r>
    <x v="155"/>
    <s v="Raven Hoffman"/>
    <x v="6"/>
    <n v="6"/>
    <n v="418"/>
    <n v="2508"/>
    <x v="0"/>
    <x v="0"/>
    <x v="10"/>
    <x v="5"/>
  </r>
  <r>
    <x v="156"/>
    <s v="Ronald Drake"/>
    <x v="7"/>
    <n v="1"/>
    <n v="107"/>
    <n v="107"/>
    <x v="4"/>
    <x v="0"/>
    <x v="10"/>
    <x v="0"/>
  </r>
  <r>
    <x v="156"/>
    <s v="Melissa Little"/>
    <x v="7"/>
    <n v="3"/>
    <n v="262"/>
    <n v="786"/>
    <x v="1"/>
    <x v="0"/>
    <x v="10"/>
    <x v="0"/>
  </r>
  <r>
    <x v="157"/>
    <s v="David Hancock"/>
    <x v="9"/>
    <n v="6"/>
    <n v="177"/>
    <n v="1062"/>
    <x v="5"/>
    <x v="0"/>
    <x v="10"/>
    <x v="2"/>
  </r>
  <r>
    <x v="157"/>
    <s v="Ryan Reed"/>
    <x v="5"/>
    <n v="2"/>
    <n v="834"/>
    <n v="1668"/>
    <x v="4"/>
    <x v="0"/>
    <x v="10"/>
    <x v="2"/>
  </r>
  <r>
    <x v="157"/>
    <s v="Thomas Weber"/>
    <x v="9"/>
    <n v="5"/>
    <n v="622"/>
    <n v="3110"/>
    <x v="4"/>
    <x v="0"/>
    <x v="10"/>
    <x v="2"/>
  </r>
  <r>
    <x v="158"/>
    <s v="Victoria Glass"/>
    <x v="9"/>
    <n v="3"/>
    <n v="244"/>
    <n v="732"/>
    <x v="0"/>
    <x v="0"/>
    <x v="10"/>
    <x v="1"/>
  </r>
  <r>
    <x v="158"/>
    <s v="Heather Allen"/>
    <x v="5"/>
    <n v="3"/>
    <n v="402"/>
    <n v="1206"/>
    <x v="4"/>
    <x v="0"/>
    <x v="10"/>
    <x v="1"/>
  </r>
  <r>
    <x v="159"/>
    <s v="Beverly Cuevas"/>
    <x v="9"/>
    <n v="2"/>
    <n v="96"/>
    <n v="192"/>
    <x v="1"/>
    <x v="0"/>
    <x v="10"/>
    <x v="6"/>
  </r>
  <r>
    <x v="159"/>
    <s v="Katherine Harrison"/>
    <x v="1"/>
    <n v="6"/>
    <n v="770"/>
    <n v="4620"/>
    <x v="1"/>
    <x v="0"/>
    <x v="10"/>
    <x v="6"/>
  </r>
  <r>
    <x v="160"/>
    <s v="Glenda Brooks"/>
    <x v="7"/>
    <n v="2"/>
    <n v="949"/>
    <n v="1898"/>
    <x v="4"/>
    <x v="0"/>
    <x v="10"/>
    <x v="4"/>
  </r>
  <r>
    <x v="161"/>
    <s v="Jessica Williams"/>
    <x v="4"/>
    <n v="3"/>
    <n v="171"/>
    <n v="513"/>
    <x v="5"/>
    <x v="0"/>
    <x v="10"/>
    <x v="5"/>
  </r>
  <r>
    <x v="161"/>
    <s v="Courtney Moody"/>
    <x v="3"/>
    <n v="4"/>
    <n v="613"/>
    <n v="2452"/>
    <x v="3"/>
    <x v="0"/>
    <x v="10"/>
    <x v="5"/>
  </r>
  <r>
    <x v="162"/>
    <s v="Alan Stewart"/>
    <x v="5"/>
    <n v="2"/>
    <n v="604"/>
    <n v="1208"/>
    <x v="3"/>
    <x v="0"/>
    <x v="10"/>
    <x v="0"/>
  </r>
  <r>
    <x v="162"/>
    <s v="John Hughes"/>
    <x v="8"/>
    <n v="4"/>
    <n v="640"/>
    <n v="2560"/>
    <x v="3"/>
    <x v="0"/>
    <x v="10"/>
    <x v="0"/>
  </r>
  <r>
    <x v="163"/>
    <s v="Brian Cook"/>
    <x v="8"/>
    <n v="4"/>
    <n v="385"/>
    <n v="1540"/>
    <x v="2"/>
    <x v="0"/>
    <x v="10"/>
    <x v="2"/>
  </r>
  <r>
    <x v="163"/>
    <s v="Jennifer Johnson"/>
    <x v="5"/>
    <n v="5"/>
    <n v="866"/>
    <n v="4330"/>
    <x v="2"/>
    <x v="0"/>
    <x v="10"/>
    <x v="2"/>
  </r>
  <r>
    <x v="164"/>
    <s v="Hector Moreno"/>
    <x v="6"/>
    <n v="1"/>
    <n v="53"/>
    <n v="53"/>
    <x v="5"/>
    <x v="0"/>
    <x v="10"/>
    <x v="1"/>
  </r>
  <r>
    <x v="164"/>
    <s v="Mary Ferguson"/>
    <x v="6"/>
    <n v="3"/>
    <n v="545"/>
    <n v="1635"/>
    <x v="5"/>
    <x v="0"/>
    <x v="10"/>
    <x v="1"/>
  </r>
  <r>
    <x v="165"/>
    <s v="Randall Cook"/>
    <x v="5"/>
    <n v="5"/>
    <n v="287"/>
    <n v="1435"/>
    <x v="4"/>
    <x v="0"/>
    <x v="10"/>
    <x v="6"/>
  </r>
  <r>
    <x v="165"/>
    <s v="Patrick Hunt"/>
    <x v="2"/>
    <n v="6"/>
    <n v="874"/>
    <n v="5244"/>
    <x v="2"/>
    <x v="0"/>
    <x v="10"/>
    <x v="6"/>
  </r>
  <r>
    <x v="166"/>
    <s v="Chad Smith"/>
    <x v="7"/>
    <n v="2"/>
    <n v="638"/>
    <n v="1276"/>
    <x v="2"/>
    <x v="0"/>
    <x v="10"/>
    <x v="3"/>
  </r>
  <r>
    <x v="166"/>
    <s v="Hector Blair"/>
    <x v="1"/>
    <n v="4"/>
    <n v="898"/>
    <n v="3592"/>
    <x v="0"/>
    <x v="0"/>
    <x v="10"/>
    <x v="3"/>
  </r>
  <r>
    <x v="166"/>
    <s v="Sarah Martinez"/>
    <x v="7"/>
    <n v="6"/>
    <n v="893"/>
    <n v="5358"/>
    <x v="1"/>
    <x v="0"/>
    <x v="10"/>
    <x v="3"/>
  </r>
  <r>
    <x v="167"/>
    <s v="Lee Smith"/>
    <x v="6"/>
    <n v="1"/>
    <n v="936"/>
    <n v="936"/>
    <x v="3"/>
    <x v="0"/>
    <x v="10"/>
    <x v="4"/>
  </r>
  <r>
    <x v="168"/>
    <s v="Joseph Hansen"/>
    <x v="7"/>
    <n v="3"/>
    <n v="303"/>
    <n v="909"/>
    <x v="2"/>
    <x v="0"/>
    <x v="4"/>
    <x v="0"/>
  </r>
  <r>
    <x v="169"/>
    <s v="Christopher Lowe"/>
    <x v="4"/>
    <n v="3"/>
    <n v="788"/>
    <n v="2364"/>
    <x v="1"/>
    <x v="0"/>
    <x v="4"/>
    <x v="2"/>
  </r>
  <r>
    <x v="170"/>
    <s v="Susan Patton"/>
    <x v="2"/>
    <n v="5"/>
    <n v="130"/>
    <n v="650"/>
    <x v="3"/>
    <x v="0"/>
    <x v="4"/>
    <x v="1"/>
  </r>
  <r>
    <x v="170"/>
    <s v="Patrick Rodriguez"/>
    <x v="8"/>
    <n v="5"/>
    <n v="984"/>
    <n v="4920"/>
    <x v="2"/>
    <x v="0"/>
    <x v="4"/>
    <x v="1"/>
  </r>
  <r>
    <x v="171"/>
    <s v="Breanna Padilla"/>
    <x v="4"/>
    <n v="2"/>
    <n v="164"/>
    <n v="328"/>
    <x v="3"/>
    <x v="0"/>
    <x v="4"/>
    <x v="3"/>
  </r>
  <r>
    <x v="171"/>
    <s v="Marcia Edwards"/>
    <x v="8"/>
    <n v="1"/>
    <n v="591"/>
    <n v="591"/>
    <x v="0"/>
    <x v="0"/>
    <x v="4"/>
    <x v="3"/>
  </r>
  <r>
    <x v="171"/>
    <s v="Mrs. Ariel Montgomery"/>
    <x v="7"/>
    <n v="3"/>
    <n v="756"/>
    <n v="2268"/>
    <x v="4"/>
    <x v="0"/>
    <x v="4"/>
    <x v="3"/>
  </r>
  <r>
    <x v="172"/>
    <s v="Justin Miller"/>
    <x v="6"/>
    <n v="5"/>
    <n v="149"/>
    <n v="745"/>
    <x v="4"/>
    <x v="0"/>
    <x v="4"/>
    <x v="4"/>
  </r>
  <r>
    <x v="172"/>
    <s v="Sherri Mills"/>
    <x v="8"/>
    <n v="4"/>
    <n v="962"/>
    <n v="3848"/>
    <x v="4"/>
    <x v="0"/>
    <x v="4"/>
    <x v="4"/>
  </r>
  <r>
    <x v="173"/>
    <s v="Howard Campbell"/>
    <x v="8"/>
    <n v="4"/>
    <n v="269"/>
    <n v="1076"/>
    <x v="3"/>
    <x v="0"/>
    <x v="4"/>
    <x v="5"/>
  </r>
  <r>
    <x v="174"/>
    <s v="Lauren Harper"/>
    <x v="9"/>
    <n v="6"/>
    <n v="111"/>
    <n v="666"/>
    <x v="4"/>
    <x v="0"/>
    <x v="4"/>
    <x v="0"/>
  </r>
  <r>
    <x v="174"/>
    <s v="Katherine Hill"/>
    <x v="0"/>
    <n v="4"/>
    <n v="371"/>
    <n v="1484"/>
    <x v="3"/>
    <x v="0"/>
    <x v="4"/>
    <x v="0"/>
  </r>
  <r>
    <x v="175"/>
    <s v="Keith Collins MD"/>
    <x v="8"/>
    <n v="1"/>
    <n v="193"/>
    <n v="193"/>
    <x v="5"/>
    <x v="0"/>
    <x v="4"/>
    <x v="2"/>
  </r>
  <r>
    <x v="176"/>
    <s v="John Peterson"/>
    <x v="3"/>
    <n v="6"/>
    <n v="196"/>
    <n v="1176"/>
    <x v="2"/>
    <x v="0"/>
    <x v="4"/>
    <x v="1"/>
  </r>
  <r>
    <x v="177"/>
    <s v="Kristina Eaton"/>
    <x v="8"/>
    <n v="4"/>
    <n v="907"/>
    <n v="3628"/>
    <x v="2"/>
    <x v="0"/>
    <x v="4"/>
    <x v="6"/>
  </r>
  <r>
    <x v="178"/>
    <s v="Amanda Hernandez"/>
    <x v="5"/>
    <n v="1"/>
    <n v="178"/>
    <n v="178"/>
    <x v="0"/>
    <x v="0"/>
    <x v="4"/>
    <x v="3"/>
  </r>
  <r>
    <x v="6"/>
    <s v="Jon Foster"/>
    <x v="6"/>
    <n v="2"/>
    <n v="323"/>
    <n v="646"/>
    <x v="2"/>
    <x v="0"/>
    <x v="4"/>
    <x v="4"/>
  </r>
  <r>
    <x v="179"/>
    <s v="Stephanie Austin"/>
    <x v="7"/>
    <n v="6"/>
    <n v="461"/>
    <n v="2766"/>
    <x v="2"/>
    <x v="0"/>
    <x v="4"/>
    <x v="5"/>
  </r>
  <r>
    <x v="179"/>
    <s v="Emily Hart"/>
    <x v="2"/>
    <n v="6"/>
    <n v="747"/>
    <n v="4482"/>
    <x v="5"/>
    <x v="0"/>
    <x v="4"/>
    <x v="5"/>
  </r>
  <r>
    <x v="180"/>
    <s v="Derrick Garcia"/>
    <x v="6"/>
    <n v="5"/>
    <n v="141"/>
    <n v="705"/>
    <x v="3"/>
    <x v="0"/>
    <x v="4"/>
    <x v="0"/>
  </r>
  <r>
    <x v="181"/>
    <s v="Steven Wright"/>
    <x v="5"/>
    <n v="1"/>
    <n v="183"/>
    <n v="183"/>
    <x v="5"/>
    <x v="0"/>
    <x v="4"/>
    <x v="1"/>
  </r>
  <r>
    <x v="181"/>
    <s v="Alexander Brooks"/>
    <x v="8"/>
    <n v="5"/>
    <n v="505"/>
    <n v="2525"/>
    <x v="5"/>
    <x v="0"/>
    <x v="4"/>
    <x v="1"/>
  </r>
  <r>
    <x v="182"/>
    <s v="David Smith"/>
    <x v="7"/>
    <n v="1"/>
    <n v="483"/>
    <n v="483"/>
    <x v="5"/>
    <x v="0"/>
    <x v="4"/>
    <x v="6"/>
  </r>
  <r>
    <x v="182"/>
    <s v="Heidi Lindsey"/>
    <x v="0"/>
    <n v="6"/>
    <n v="721"/>
    <n v="4326"/>
    <x v="3"/>
    <x v="0"/>
    <x v="4"/>
    <x v="6"/>
  </r>
  <r>
    <x v="183"/>
    <s v="Pamela Alexander"/>
    <x v="9"/>
    <n v="1"/>
    <n v="477"/>
    <n v="477"/>
    <x v="4"/>
    <x v="0"/>
    <x v="4"/>
    <x v="3"/>
  </r>
  <r>
    <x v="183"/>
    <s v="Breanna Gibson"/>
    <x v="7"/>
    <n v="4"/>
    <n v="953"/>
    <n v="3812"/>
    <x v="3"/>
    <x v="0"/>
    <x v="4"/>
    <x v="3"/>
  </r>
  <r>
    <x v="184"/>
    <s v="Craig Figueroa"/>
    <x v="1"/>
    <n v="5"/>
    <n v="364"/>
    <n v="1820"/>
    <x v="1"/>
    <x v="0"/>
    <x v="4"/>
    <x v="4"/>
  </r>
  <r>
    <x v="185"/>
    <s v="Thomas Harris"/>
    <x v="5"/>
    <n v="6"/>
    <n v="289"/>
    <n v="1734"/>
    <x v="0"/>
    <x v="0"/>
    <x v="4"/>
    <x v="5"/>
  </r>
  <r>
    <x v="23"/>
    <s v="Anthony Wilson"/>
    <x v="6"/>
    <n v="4"/>
    <n v="757"/>
    <n v="3028"/>
    <x v="5"/>
    <x v="0"/>
    <x v="4"/>
    <x v="0"/>
  </r>
  <r>
    <x v="23"/>
    <s v="Eric Arroyo"/>
    <x v="5"/>
    <n v="6"/>
    <n v="733"/>
    <n v="4398"/>
    <x v="0"/>
    <x v="0"/>
    <x v="4"/>
    <x v="0"/>
  </r>
  <r>
    <x v="186"/>
    <s v="Mary Alvarado"/>
    <x v="3"/>
    <n v="6"/>
    <n v="776"/>
    <n v="4656"/>
    <x v="0"/>
    <x v="0"/>
    <x v="4"/>
    <x v="2"/>
  </r>
  <r>
    <x v="187"/>
    <s v="Donna Hill"/>
    <x v="3"/>
    <n v="3"/>
    <n v="593"/>
    <n v="1779"/>
    <x v="5"/>
    <x v="0"/>
    <x v="4"/>
    <x v="1"/>
  </r>
  <r>
    <x v="188"/>
    <s v="Tracy Bruce MD"/>
    <x v="3"/>
    <n v="2"/>
    <n v="715"/>
    <n v="1430"/>
    <x v="2"/>
    <x v="0"/>
    <x v="4"/>
    <x v="6"/>
  </r>
  <r>
    <x v="188"/>
    <s v="Francisco Stevenson"/>
    <x v="1"/>
    <n v="6"/>
    <n v="487"/>
    <n v="2922"/>
    <x v="3"/>
    <x v="0"/>
    <x v="4"/>
    <x v="6"/>
  </r>
  <r>
    <x v="189"/>
    <s v="Susan Sanchez"/>
    <x v="0"/>
    <n v="4"/>
    <n v="758"/>
    <n v="3032"/>
    <x v="4"/>
    <x v="0"/>
    <x v="4"/>
    <x v="5"/>
  </r>
  <r>
    <x v="190"/>
    <s v="John Hobbs"/>
    <x v="8"/>
    <n v="1"/>
    <n v="420"/>
    <n v="420"/>
    <x v="1"/>
    <x v="0"/>
    <x v="4"/>
    <x v="0"/>
  </r>
  <r>
    <x v="190"/>
    <s v="Todd Kelly"/>
    <x v="8"/>
    <n v="3"/>
    <n v="839"/>
    <n v="2517"/>
    <x v="1"/>
    <x v="0"/>
    <x v="4"/>
    <x v="0"/>
  </r>
  <r>
    <x v="191"/>
    <s v="Brandon Craig"/>
    <x v="9"/>
    <n v="4"/>
    <n v="575"/>
    <n v="2300"/>
    <x v="3"/>
    <x v="0"/>
    <x v="5"/>
    <x v="6"/>
  </r>
  <r>
    <x v="192"/>
    <s v="Kelsey Smith"/>
    <x v="8"/>
    <n v="3"/>
    <n v="56"/>
    <n v="168"/>
    <x v="5"/>
    <x v="0"/>
    <x v="5"/>
    <x v="4"/>
  </r>
  <r>
    <x v="7"/>
    <s v="Wesley Anderson"/>
    <x v="9"/>
    <n v="2"/>
    <n v="152"/>
    <n v="304"/>
    <x v="5"/>
    <x v="0"/>
    <x v="5"/>
    <x v="5"/>
  </r>
  <r>
    <x v="7"/>
    <s v="Nicole Hendricks"/>
    <x v="9"/>
    <n v="1"/>
    <n v="473"/>
    <n v="473"/>
    <x v="1"/>
    <x v="0"/>
    <x v="5"/>
    <x v="5"/>
  </r>
  <r>
    <x v="7"/>
    <s v="Jennifer Young"/>
    <x v="0"/>
    <n v="6"/>
    <n v="475"/>
    <n v="2850"/>
    <x v="0"/>
    <x v="0"/>
    <x v="5"/>
    <x v="5"/>
  </r>
  <r>
    <x v="7"/>
    <s v="Krystal Davies"/>
    <x v="6"/>
    <n v="6"/>
    <n v="879"/>
    <n v="5274"/>
    <x v="4"/>
    <x v="0"/>
    <x v="5"/>
    <x v="5"/>
  </r>
  <r>
    <x v="193"/>
    <s v="Christopher Simpson"/>
    <x v="3"/>
    <n v="3"/>
    <n v="377"/>
    <n v="1131"/>
    <x v="2"/>
    <x v="0"/>
    <x v="5"/>
    <x v="1"/>
  </r>
  <r>
    <x v="193"/>
    <s v="David Savage"/>
    <x v="6"/>
    <n v="4"/>
    <n v="521"/>
    <n v="2084"/>
    <x v="5"/>
    <x v="0"/>
    <x v="5"/>
    <x v="1"/>
  </r>
  <r>
    <x v="193"/>
    <s v="Carlos Robinson"/>
    <x v="7"/>
    <n v="4"/>
    <n v="733"/>
    <n v="2932"/>
    <x v="1"/>
    <x v="0"/>
    <x v="5"/>
    <x v="1"/>
  </r>
  <r>
    <x v="39"/>
    <s v="Carolyn Jacobs"/>
    <x v="6"/>
    <n v="5"/>
    <n v="498"/>
    <n v="2490"/>
    <x v="0"/>
    <x v="0"/>
    <x v="5"/>
    <x v="6"/>
  </r>
  <r>
    <x v="194"/>
    <s v="Robin Davis"/>
    <x v="7"/>
    <n v="4"/>
    <n v="213"/>
    <n v="852"/>
    <x v="2"/>
    <x v="0"/>
    <x v="5"/>
    <x v="3"/>
  </r>
  <r>
    <x v="195"/>
    <s v="Denise Miller"/>
    <x v="1"/>
    <n v="3"/>
    <n v="828"/>
    <n v="2484"/>
    <x v="5"/>
    <x v="0"/>
    <x v="5"/>
    <x v="4"/>
  </r>
  <r>
    <x v="196"/>
    <s v="Scott Daniels"/>
    <x v="6"/>
    <n v="5"/>
    <n v="636"/>
    <n v="3180"/>
    <x v="2"/>
    <x v="0"/>
    <x v="5"/>
    <x v="5"/>
  </r>
  <r>
    <x v="197"/>
    <s v="Madeline Nicholson"/>
    <x v="0"/>
    <n v="6"/>
    <n v="403"/>
    <n v="2418"/>
    <x v="0"/>
    <x v="0"/>
    <x v="5"/>
    <x v="0"/>
  </r>
  <r>
    <x v="24"/>
    <s v="Michael Hale"/>
    <x v="1"/>
    <n v="6"/>
    <n v="707"/>
    <n v="4242"/>
    <x v="2"/>
    <x v="0"/>
    <x v="5"/>
    <x v="6"/>
  </r>
  <r>
    <x v="198"/>
    <s v="Tiffany Carroll"/>
    <x v="8"/>
    <n v="4"/>
    <n v="631"/>
    <n v="2524"/>
    <x v="2"/>
    <x v="0"/>
    <x v="5"/>
    <x v="3"/>
  </r>
  <r>
    <x v="199"/>
    <s v="Donna Vaughn"/>
    <x v="1"/>
    <n v="1"/>
    <n v="300"/>
    <n v="300"/>
    <x v="2"/>
    <x v="0"/>
    <x v="5"/>
    <x v="4"/>
  </r>
  <r>
    <x v="199"/>
    <s v="James Brown"/>
    <x v="6"/>
    <n v="1"/>
    <n v="575"/>
    <n v="575"/>
    <x v="3"/>
    <x v="0"/>
    <x v="5"/>
    <x v="4"/>
  </r>
  <r>
    <x v="199"/>
    <s v="Suzanne Marsh"/>
    <x v="2"/>
    <n v="6"/>
    <n v="586"/>
    <n v="3516"/>
    <x v="4"/>
    <x v="0"/>
    <x v="5"/>
    <x v="4"/>
  </r>
  <r>
    <x v="200"/>
    <s v="Mr. Anthony Leonard"/>
    <x v="1"/>
    <n v="1"/>
    <n v="404"/>
    <n v="404"/>
    <x v="1"/>
    <x v="0"/>
    <x v="5"/>
    <x v="5"/>
  </r>
  <r>
    <x v="201"/>
    <s v="Michael Miller"/>
    <x v="9"/>
    <n v="6"/>
    <n v="109"/>
    <n v="654"/>
    <x v="0"/>
    <x v="0"/>
    <x v="5"/>
    <x v="0"/>
  </r>
  <r>
    <x v="202"/>
    <s v="Gary Young"/>
    <x v="3"/>
    <n v="2"/>
    <n v="385"/>
    <n v="770"/>
    <x v="4"/>
    <x v="0"/>
    <x v="5"/>
    <x v="2"/>
  </r>
  <r>
    <x v="202"/>
    <s v="Victor Odom"/>
    <x v="4"/>
    <n v="6"/>
    <n v="588"/>
    <n v="3528"/>
    <x v="2"/>
    <x v="0"/>
    <x v="5"/>
    <x v="2"/>
  </r>
  <r>
    <x v="203"/>
    <s v="Joshua Kim"/>
    <x v="8"/>
    <n v="4"/>
    <n v="452"/>
    <n v="1808"/>
    <x v="4"/>
    <x v="0"/>
    <x v="5"/>
    <x v="1"/>
  </r>
  <r>
    <x v="204"/>
    <s v="Rebecca Freeman"/>
    <x v="2"/>
    <n v="2"/>
    <n v="512"/>
    <n v="1024"/>
    <x v="1"/>
    <x v="0"/>
    <x v="5"/>
    <x v="6"/>
  </r>
  <r>
    <x v="204"/>
    <s v="Michelle Bolton"/>
    <x v="6"/>
    <n v="5"/>
    <n v="837"/>
    <n v="4185"/>
    <x v="0"/>
    <x v="0"/>
    <x v="5"/>
    <x v="6"/>
  </r>
  <r>
    <x v="205"/>
    <s v="Brandon Roberts"/>
    <x v="9"/>
    <n v="6"/>
    <n v="240"/>
    <n v="1440"/>
    <x v="3"/>
    <x v="0"/>
    <x v="5"/>
    <x v="4"/>
  </r>
  <r>
    <x v="206"/>
    <s v="Joshua Harris"/>
    <x v="7"/>
    <n v="1"/>
    <n v="965"/>
    <n v="965"/>
    <x v="5"/>
    <x v="0"/>
    <x v="5"/>
    <x v="0"/>
  </r>
  <r>
    <x v="207"/>
    <s v="Catherine Robles"/>
    <x v="7"/>
    <n v="6"/>
    <n v="340"/>
    <n v="2040"/>
    <x v="3"/>
    <x v="0"/>
    <x v="5"/>
    <x v="1"/>
  </r>
  <r>
    <x v="208"/>
    <s v="Sue Peters"/>
    <x v="3"/>
    <n v="5"/>
    <n v="273"/>
    <n v="1365"/>
    <x v="0"/>
    <x v="0"/>
    <x v="5"/>
    <x v="3"/>
  </r>
  <r>
    <x v="209"/>
    <s v="Patrick Tucker"/>
    <x v="6"/>
    <n v="3"/>
    <n v="870"/>
    <n v="2610"/>
    <x v="3"/>
    <x v="0"/>
    <x v="6"/>
    <x v="5"/>
  </r>
  <r>
    <x v="9"/>
    <s v="Roy Walker"/>
    <x v="4"/>
    <n v="4"/>
    <n v="953"/>
    <n v="3812"/>
    <x v="4"/>
    <x v="0"/>
    <x v="6"/>
    <x v="0"/>
  </r>
  <r>
    <x v="210"/>
    <s v="Frances Smith"/>
    <x v="0"/>
    <n v="6"/>
    <n v="234"/>
    <n v="1404"/>
    <x v="4"/>
    <x v="0"/>
    <x v="6"/>
    <x v="2"/>
  </r>
  <r>
    <x v="211"/>
    <s v="Robert Brown"/>
    <x v="8"/>
    <n v="4"/>
    <n v="950"/>
    <n v="3800"/>
    <x v="2"/>
    <x v="0"/>
    <x v="6"/>
    <x v="6"/>
  </r>
  <r>
    <x v="212"/>
    <s v="Cynthia Holt"/>
    <x v="9"/>
    <n v="6"/>
    <n v="541"/>
    <n v="3246"/>
    <x v="5"/>
    <x v="0"/>
    <x v="6"/>
    <x v="3"/>
  </r>
  <r>
    <x v="41"/>
    <s v="Theresa Smith"/>
    <x v="4"/>
    <n v="3"/>
    <n v="426"/>
    <n v="1278"/>
    <x v="2"/>
    <x v="0"/>
    <x v="6"/>
    <x v="4"/>
  </r>
  <r>
    <x v="213"/>
    <s v="Angela Davis"/>
    <x v="7"/>
    <n v="1"/>
    <n v="804"/>
    <n v="804"/>
    <x v="3"/>
    <x v="0"/>
    <x v="6"/>
    <x v="5"/>
  </r>
  <r>
    <x v="213"/>
    <s v="Timothy Hunter"/>
    <x v="5"/>
    <n v="5"/>
    <n v="536"/>
    <n v="2680"/>
    <x v="4"/>
    <x v="0"/>
    <x v="6"/>
    <x v="5"/>
  </r>
  <r>
    <x v="214"/>
    <s v="Amber Anderson"/>
    <x v="0"/>
    <n v="6"/>
    <n v="785"/>
    <n v="4710"/>
    <x v="0"/>
    <x v="0"/>
    <x v="6"/>
    <x v="0"/>
  </r>
  <r>
    <x v="215"/>
    <s v="Amy Barron"/>
    <x v="7"/>
    <n v="3"/>
    <n v="129"/>
    <n v="387"/>
    <x v="4"/>
    <x v="0"/>
    <x v="6"/>
    <x v="2"/>
  </r>
  <r>
    <x v="216"/>
    <s v="Patrick Gibbs"/>
    <x v="9"/>
    <n v="3"/>
    <n v="398"/>
    <n v="1194"/>
    <x v="3"/>
    <x v="0"/>
    <x v="6"/>
    <x v="6"/>
  </r>
  <r>
    <x v="217"/>
    <s v="Katrina Gibbs"/>
    <x v="8"/>
    <n v="2"/>
    <n v="365"/>
    <n v="730"/>
    <x v="2"/>
    <x v="0"/>
    <x v="6"/>
    <x v="3"/>
  </r>
  <r>
    <x v="25"/>
    <s v="Amanda Brooks"/>
    <x v="3"/>
    <n v="5"/>
    <n v="152"/>
    <n v="760"/>
    <x v="5"/>
    <x v="0"/>
    <x v="6"/>
    <x v="4"/>
  </r>
  <r>
    <x v="25"/>
    <s v="Kiara Vaughn"/>
    <x v="9"/>
    <n v="5"/>
    <n v="943"/>
    <n v="4715"/>
    <x v="0"/>
    <x v="0"/>
    <x v="6"/>
    <x v="4"/>
  </r>
  <r>
    <x v="218"/>
    <s v="Barry Hamilton"/>
    <x v="0"/>
    <n v="4"/>
    <n v="153"/>
    <n v="612"/>
    <x v="4"/>
    <x v="0"/>
    <x v="6"/>
    <x v="5"/>
  </r>
  <r>
    <x v="218"/>
    <s v="Sheila Graham"/>
    <x v="5"/>
    <n v="2"/>
    <n v="982"/>
    <n v="1964"/>
    <x v="4"/>
    <x v="0"/>
    <x v="6"/>
    <x v="5"/>
  </r>
  <r>
    <x v="219"/>
    <s v="Jesse Evans"/>
    <x v="0"/>
    <n v="1"/>
    <n v="366"/>
    <n v="366"/>
    <x v="1"/>
    <x v="0"/>
    <x v="6"/>
    <x v="0"/>
  </r>
  <r>
    <x v="220"/>
    <s v="Brendan Thompson"/>
    <x v="3"/>
    <n v="1"/>
    <n v="342"/>
    <n v="342"/>
    <x v="5"/>
    <x v="0"/>
    <x v="6"/>
    <x v="2"/>
  </r>
  <r>
    <x v="220"/>
    <s v="Nathaniel Wilson"/>
    <x v="4"/>
    <n v="6"/>
    <n v="669"/>
    <n v="4014"/>
    <x v="1"/>
    <x v="0"/>
    <x v="6"/>
    <x v="2"/>
  </r>
  <r>
    <x v="221"/>
    <s v="William Cooper"/>
    <x v="4"/>
    <n v="2"/>
    <n v="400"/>
    <n v="800"/>
    <x v="2"/>
    <x v="0"/>
    <x v="6"/>
    <x v="6"/>
  </r>
  <r>
    <x v="221"/>
    <s v="Larry West"/>
    <x v="7"/>
    <n v="4"/>
    <n v="457"/>
    <n v="1828"/>
    <x v="2"/>
    <x v="0"/>
    <x v="6"/>
    <x v="6"/>
  </r>
  <r>
    <x v="222"/>
    <s v="Austin Madden"/>
    <x v="8"/>
    <n v="3"/>
    <n v="885"/>
    <n v="2655"/>
    <x v="5"/>
    <x v="0"/>
    <x v="6"/>
    <x v="3"/>
  </r>
  <r>
    <x v="223"/>
    <s v="Amanda Wilson"/>
    <x v="1"/>
    <n v="5"/>
    <n v="220"/>
    <n v="1100"/>
    <x v="5"/>
    <x v="0"/>
    <x v="6"/>
    <x v="4"/>
  </r>
  <r>
    <x v="223"/>
    <s v="Carlos Mejia"/>
    <x v="6"/>
    <n v="6"/>
    <n v="614"/>
    <n v="3684"/>
    <x v="0"/>
    <x v="0"/>
    <x v="6"/>
    <x v="4"/>
  </r>
  <r>
    <x v="224"/>
    <s v="Albert Beard"/>
    <x v="8"/>
    <n v="4"/>
    <n v="621"/>
    <n v="2484"/>
    <x v="1"/>
    <x v="0"/>
    <x v="6"/>
    <x v="5"/>
  </r>
  <r>
    <x v="225"/>
    <s v="Paula Weber"/>
    <x v="6"/>
    <n v="5"/>
    <n v="280"/>
    <n v="1400"/>
    <x v="1"/>
    <x v="0"/>
    <x v="6"/>
    <x v="1"/>
  </r>
  <r>
    <x v="225"/>
    <s v="Angela Reyes"/>
    <x v="7"/>
    <n v="6"/>
    <n v="856"/>
    <n v="5136"/>
    <x v="1"/>
    <x v="0"/>
    <x v="6"/>
    <x v="1"/>
  </r>
  <r>
    <x v="226"/>
    <s v="Mr. Jacob Boone MD"/>
    <x v="2"/>
    <n v="2"/>
    <n v="788"/>
    <n v="1576"/>
    <x v="3"/>
    <x v="0"/>
    <x v="6"/>
    <x v="6"/>
  </r>
  <r>
    <x v="226"/>
    <s v="Thomas Dudley"/>
    <x v="9"/>
    <n v="6"/>
    <n v="806"/>
    <n v="4836"/>
    <x v="0"/>
    <x v="0"/>
    <x v="6"/>
    <x v="6"/>
  </r>
  <r>
    <x v="227"/>
    <s v="Suzanne Herrera"/>
    <x v="8"/>
    <n v="1"/>
    <n v="202"/>
    <n v="202"/>
    <x v="3"/>
    <x v="0"/>
    <x v="6"/>
    <x v="3"/>
  </r>
  <r>
    <x v="227"/>
    <s v="Katie Smith"/>
    <x v="9"/>
    <n v="3"/>
    <n v="211"/>
    <n v="633"/>
    <x v="0"/>
    <x v="0"/>
    <x v="6"/>
    <x v="3"/>
  </r>
  <r>
    <x v="228"/>
    <s v="Donald Baker"/>
    <x v="8"/>
    <n v="1"/>
    <n v="171"/>
    <n v="171"/>
    <x v="1"/>
    <x v="0"/>
    <x v="6"/>
    <x v="4"/>
  </r>
  <r>
    <x v="42"/>
    <s v="Melissa Andrews"/>
    <x v="6"/>
    <n v="1"/>
    <n v="101"/>
    <n v="101"/>
    <x v="2"/>
    <x v="0"/>
    <x v="6"/>
    <x v="5"/>
  </r>
  <r>
    <x v="229"/>
    <s v="Eric Garcia"/>
    <x v="3"/>
    <n v="6"/>
    <n v="106"/>
    <n v="636"/>
    <x v="3"/>
    <x v="0"/>
    <x v="6"/>
    <x v="0"/>
  </r>
  <r>
    <x v="229"/>
    <s v="Cheryl Ochoa"/>
    <x v="9"/>
    <n v="3"/>
    <n v="526"/>
    <n v="1578"/>
    <x v="5"/>
    <x v="0"/>
    <x v="6"/>
    <x v="0"/>
  </r>
  <r>
    <x v="230"/>
    <s v="Kevin Wright"/>
    <x v="4"/>
    <n v="3"/>
    <n v="67"/>
    <n v="201"/>
    <x v="4"/>
    <x v="0"/>
    <x v="7"/>
    <x v="2"/>
  </r>
  <r>
    <x v="231"/>
    <s v="Michelle Paul"/>
    <x v="8"/>
    <n v="2"/>
    <n v="515"/>
    <n v="1030"/>
    <x v="3"/>
    <x v="0"/>
    <x v="7"/>
    <x v="1"/>
  </r>
  <r>
    <x v="231"/>
    <s v="Jeremy Jones"/>
    <x v="4"/>
    <n v="5"/>
    <n v="707"/>
    <n v="3535"/>
    <x v="3"/>
    <x v="0"/>
    <x v="7"/>
    <x v="1"/>
  </r>
  <r>
    <x v="232"/>
    <s v="Nicole Garcia"/>
    <x v="6"/>
    <n v="1"/>
    <n v="504"/>
    <n v="504"/>
    <x v="1"/>
    <x v="0"/>
    <x v="7"/>
    <x v="6"/>
  </r>
  <r>
    <x v="232"/>
    <s v="Ryan Willis"/>
    <x v="8"/>
    <n v="5"/>
    <n v="338"/>
    <n v="1690"/>
    <x v="0"/>
    <x v="0"/>
    <x v="7"/>
    <x v="6"/>
  </r>
  <r>
    <x v="232"/>
    <s v="Kevin Harrington"/>
    <x v="2"/>
    <n v="4"/>
    <n v="507"/>
    <n v="2028"/>
    <x v="3"/>
    <x v="0"/>
    <x v="7"/>
    <x v="6"/>
  </r>
  <r>
    <x v="233"/>
    <s v="Mr. Nathaniel Clarke"/>
    <x v="6"/>
    <n v="4"/>
    <n v="118"/>
    <n v="472"/>
    <x v="5"/>
    <x v="0"/>
    <x v="7"/>
    <x v="3"/>
  </r>
  <r>
    <x v="234"/>
    <s v="Gregory Wolf"/>
    <x v="7"/>
    <n v="1"/>
    <n v="564"/>
    <n v="564"/>
    <x v="5"/>
    <x v="0"/>
    <x v="7"/>
    <x v="4"/>
  </r>
  <r>
    <x v="235"/>
    <s v="Caitlin Neal"/>
    <x v="3"/>
    <n v="3"/>
    <n v="229"/>
    <n v="687"/>
    <x v="4"/>
    <x v="0"/>
    <x v="7"/>
    <x v="5"/>
  </r>
  <r>
    <x v="235"/>
    <s v="Matthew Schwartz"/>
    <x v="3"/>
    <n v="5"/>
    <n v="621"/>
    <n v="3105"/>
    <x v="1"/>
    <x v="0"/>
    <x v="7"/>
    <x v="5"/>
  </r>
  <r>
    <x v="26"/>
    <s v="Shelby Boyer"/>
    <x v="5"/>
    <n v="3"/>
    <n v="190"/>
    <n v="570"/>
    <x v="4"/>
    <x v="0"/>
    <x v="7"/>
    <x v="0"/>
  </r>
  <r>
    <x v="26"/>
    <s v="Brandi Sharp"/>
    <x v="0"/>
    <n v="2"/>
    <n v="706"/>
    <n v="1412"/>
    <x v="2"/>
    <x v="0"/>
    <x v="7"/>
    <x v="0"/>
  </r>
  <r>
    <x v="26"/>
    <s v="Corey Potts"/>
    <x v="9"/>
    <n v="4"/>
    <n v="509"/>
    <n v="2036"/>
    <x v="1"/>
    <x v="0"/>
    <x v="7"/>
    <x v="0"/>
  </r>
  <r>
    <x v="26"/>
    <s v="Steve Wang"/>
    <x v="8"/>
    <n v="5"/>
    <n v="594"/>
    <n v="2970"/>
    <x v="5"/>
    <x v="0"/>
    <x v="7"/>
    <x v="0"/>
  </r>
  <r>
    <x v="236"/>
    <s v="Mr. Matthew Kent"/>
    <x v="0"/>
    <n v="1"/>
    <n v="254"/>
    <n v="254"/>
    <x v="1"/>
    <x v="0"/>
    <x v="7"/>
    <x v="1"/>
  </r>
  <r>
    <x v="237"/>
    <s v="David Ewing"/>
    <x v="6"/>
    <n v="6"/>
    <n v="174"/>
    <n v="1044"/>
    <x v="5"/>
    <x v="0"/>
    <x v="7"/>
    <x v="6"/>
  </r>
  <r>
    <x v="237"/>
    <s v="Tiffany Hood"/>
    <x v="4"/>
    <n v="5"/>
    <n v="737"/>
    <n v="3685"/>
    <x v="1"/>
    <x v="0"/>
    <x v="7"/>
    <x v="6"/>
  </r>
  <r>
    <x v="238"/>
    <s v="Mrs. Katherine Williams MD"/>
    <x v="5"/>
    <n v="2"/>
    <n v="186"/>
    <n v="372"/>
    <x v="2"/>
    <x v="0"/>
    <x v="7"/>
    <x v="4"/>
  </r>
  <r>
    <x v="239"/>
    <s v="Pamela Ellis"/>
    <x v="5"/>
    <n v="5"/>
    <n v="206"/>
    <n v="1030"/>
    <x v="4"/>
    <x v="0"/>
    <x v="7"/>
    <x v="5"/>
  </r>
  <r>
    <x v="239"/>
    <s v="Matthew Reyes"/>
    <x v="6"/>
    <n v="3"/>
    <n v="610"/>
    <n v="1830"/>
    <x v="3"/>
    <x v="0"/>
    <x v="7"/>
    <x v="5"/>
  </r>
  <r>
    <x v="240"/>
    <s v="Christine Lopez"/>
    <x v="0"/>
    <n v="3"/>
    <n v="571"/>
    <n v="1713"/>
    <x v="2"/>
    <x v="0"/>
    <x v="7"/>
    <x v="0"/>
  </r>
  <r>
    <x v="240"/>
    <s v="Kristen Fowler"/>
    <x v="8"/>
    <n v="6"/>
    <n v="955"/>
    <n v="5730"/>
    <x v="5"/>
    <x v="0"/>
    <x v="7"/>
    <x v="0"/>
  </r>
  <r>
    <x v="241"/>
    <s v="Candice Cox"/>
    <x v="7"/>
    <n v="6"/>
    <n v="317"/>
    <n v="1902"/>
    <x v="5"/>
    <x v="0"/>
    <x v="7"/>
    <x v="2"/>
  </r>
  <r>
    <x v="242"/>
    <s v="Teresa Vargas"/>
    <x v="4"/>
    <n v="1"/>
    <n v="540"/>
    <n v="540"/>
    <x v="5"/>
    <x v="0"/>
    <x v="7"/>
    <x v="1"/>
  </r>
  <r>
    <x v="242"/>
    <s v="Victoria Richardson"/>
    <x v="6"/>
    <n v="4"/>
    <n v="435"/>
    <n v="1740"/>
    <x v="3"/>
    <x v="0"/>
    <x v="7"/>
    <x v="1"/>
  </r>
  <r>
    <x v="243"/>
    <s v="Candice Barton"/>
    <x v="7"/>
    <n v="1"/>
    <n v="786"/>
    <n v="786"/>
    <x v="4"/>
    <x v="0"/>
    <x v="7"/>
    <x v="3"/>
  </r>
  <r>
    <x v="243"/>
    <s v="Sherry Morrison"/>
    <x v="0"/>
    <n v="2"/>
    <n v="772"/>
    <n v="1544"/>
    <x v="3"/>
    <x v="0"/>
    <x v="7"/>
    <x v="3"/>
  </r>
  <r>
    <x v="244"/>
    <s v="Kristin Cole"/>
    <x v="8"/>
    <n v="4"/>
    <n v="470"/>
    <n v="1880"/>
    <x v="3"/>
    <x v="0"/>
    <x v="7"/>
    <x v="4"/>
  </r>
  <r>
    <x v="245"/>
    <s v="Megan Robles"/>
    <x v="3"/>
    <n v="5"/>
    <n v="790"/>
    <n v="3950"/>
    <x v="4"/>
    <x v="0"/>
    <x v="7"/>
    <x v="5"/>
  </r>
  <r>
    <x v="246"/>
    <s v="Charles Williams"/>
    <x v="3"/>
    <n v="2"/>
    <n v="274"/>
    <n v="548"/>
    <x v="0"/>
    <x v="0"/>
    <x v="7"/>
    <x v="1"/>
  </r>
  <r>
    <x v="247"/>
    <s v="Michael George"/>
    <x v="7"/>
    <n v="3"/>
    <n v="61"/>
    <n v="183"/>
    <x v="5"/>
    <x v="0"/>
    <x v="7"/>
    <x v="5"/>
  </r>
  <r>
    <x v="247"/>
    <s v="Lisa Peters"/>
    <x v="9"/>
    <n v="3"/>
    <n v="924"/>
    <n v="2772"/>
    <x v="5"/>
    <x v="0"/>
    <x v="7"/>
    <x v="5"/>
  </r>
  <r>
    <x v="248"/>
    <s v="Meghan Charles"/>
    <x v="3"/>
    <n v="2"/>
    <n v="158"/>
    <n v="316"/>
    <x v="5"/>
    <x v="0"/>
    <x v="7"/>
    <x v="6"/>
  </r>
  <r>
    <x v="248"/>
    <s v="Robert Moore"/>
    <x v="2"/>
    <n v="2"/>
    <n v="934"/>
    <n v="1868"/>
    <x v="2"/>
    <x v="0"/>
    <x v="7"/>
    <x v="6"/>
  </r>
  <r>
    <x v="248"/>
    <s v="Troy Foster"/>
    <x v="0"/>
    <n v="5"/>
    <n v="625"/>
    <n v="3125"/>
    <x v="3"/>
    <x v="0"/>
    <x v="7"/>
    <x v="6"/>
  </r>
  <r>
    <x v="248"/>
    <s v="Catherine English"/>
    <x v="2"/>
    <n v="5"/>
    <n v="844"/>
    <n v="4220"/>
    <x v="3"/>
    <x v="0"/>
    <x v="7"/>
    <x v="6"/>
  </r>
  <r>
    <x v="249"/>
    <s v="Heather Diaz"/>
    <x v="6"/>
    <n v="5"/>
    <n v="159"/>
    <n v="795"/>
    <x v="5"/>
    <x v="0"/>
    <x v="3"/>
    <x v="3"/>
  </r>
  <r>
    <x v="249"/>
    <s v="Ashley Rivas"/>
    <x v="4"/>
    <n v="4"/>
    <n v="998"/>
    <n v="3992"/>
    <x v="0"/>
    <x v="0"/>
    <x v="3"/>
    <x v="3"/>
  </r>
  <r>
    <x v="250"/>
    <s v="Rebecca Casey"/>
    <x v="9"/>
    <n v="6"/>
    <n v="631"/>
    <n v="3786"/>
    <x v="1"/>
    <x v="0"/>
    <x v="3"/>
    <x v="4"/>
  </r>
  <r>
    <x v="251"/>
    <s v="Anthony Clark"/>
    <x v="0"/>
    <n v="3"/>
    <n v="197"/>
    <n v="591"/>
    <x v="2"/>
    <x v="0"/>
    <x v="3"/>
    <x v="0"/>
  </r>
  <r>
    <x v="251"/>
    <s v="Isabella Clark"/>
    <x v="7"/>
    <n v="5"/>
    <n v="918"/>
    <n v="4590"/>
    <x v="5"/>
    <x v="0"/>
    <x v="3"/>
    <x v="0"/>
  </r>
  <r>
    <x v="252"/>
    <s v="Gary Taylor"/>
    <x v="3"/>
    <n v="3"/>
    <n v="359"/>
    <n v="1077"/>
    <x v="0"/>
    <x v="0"/>
    <x v="3"/>
    <x v="2"/>
  </r>
  <r>
    <x v="252"/>
    <s v="Rachel Hicks"/>
    <x v="5"/>
    <n v="6"/>
    <n v="802"/>
    <n v="4812"/>
    <x v="5"/>
    <x v="0"/>
    <x v="3"/>
    <x v="2"/>
  </r>
  <r>
    <x v="253"/>
    <s v="Amy Young DDS"/>
    <x v="6"/>
    <n v="1"/>
    <n v="755"/>
    <n v="755"/>
    <x v="4"/>
    <x v="0"/>
    <x v="3"/>
    <x v="6"/>
  </r>
  <r>
    <x v="14"/>
    <s v="Misty Waters"/>
    <x v="6"/>
    <n v="4"/>
    <n v="795"/>
    <n v="3180"/>
    <x v="5"/>
    <x v="0"/>
    <x v="3"/>
    <x v="4"/>
  </r>
  <r>
    <x v="254"/>
    <s v="Kayla Alvarado"/>
    <x v="9"/>
    <n v="1"/>
    <n v="85"/>
    <n v="85"/>
    <x v="3"/>
    <x v="0"/>
    <x v="3"/>
    <x v="5"/>
  </r>
  <r>
    <x v="254"/>
    <s v="Jesse Branch"/>
    <x v="3"/>
    <n v="2"/>
    <n v="912"/>
    <n v="1824"/>
    <x v="0"/>
    <x v="0"/>
    <x v="3"/>
    <x v="5"/>
  </r>
  <r>
    <x v="254"/>
    <s v="Brenda Miller"/>
    <x v="9"/>
    <n v="4"/>
    <n v="968"/>
    <n v="3872"/>
    <x v="0"/>
    <x v="0"/>
    <x v="3"/>
    <x v="5"/>
  </r>
  <r>
    <x v="255"/>
    <s v="Doris Gordon"/>
    <x v="9"/>
    <n v="6"/>
    <n v="185"/>
    <n v="1110"/>
    <x v="3"/>
    <x v="0"/>
    <x v="3"/>
    <x v="2"/>
  </r>
  <r>
    <x v="256"/>
    <s v="Alexander Vazquez"/>
    <x v="7"/>
    <n v="5"/>
    <n v="837"/>
    <n v="4185"/>
    <x v="4"/>
    <x v="0"/>
    <x v="3"/>
    <x v="1"/>
  </r>
  <r>
    <x v="257"/>
    <s v="Christina Berg"/>
    <x v="2"/>
    <n v="1"/>
    <n v="679"/>
    <n v="679"/>
    <x v="3"/>
    <x v="0"/>
    <x v="3"/>
    <x v="6"/>
  </r>
  <r>
    <x v="257"/>
    <s v="Angela Stevens"/>
    <x v="5"/>
    <n v="6"/>
    <n v="461"/>
    <n v="2766"/>
    <x v="2"/>
    <x v="0"/>
    <x v="3"/>
    <x v="6"/>
  </r>
  <r>
    <x v="28"/>
    <s v="Sherry Scott"/>
    <x v="2"/>
    <n v="6"/>
    <n v="646"/>
    <n v="3876"/>
    <x v="2"/>
    <x v="0"/>
    <x v="3"/>
    <x v="3"/>
  </r>
  <r>
    <x v="29"/>
    <s v="Jeffrey Harding"/>
    <x v="3"/>
    <n v="6"/>
    <n v="627"/>
    <n v="3762"/>
    <x v="5"/>
    <x v="0"/>
    <x v="3"/>
    <x v="5"/>
  </r>
  <r>
    <x v="258"/>
    <s v="Alexis Moore"/>
    <x v="0"/>
    <n v="6"/>
    <n v="491"/>
    <n v="2946"/>
    <x v="5"/>
    <x v="0"/>
    <x v="3"/>
    <x v="0"/>
  </r>
  <r>
    <x v="259"/>
    <s v="Andrew Peterson"/>
    <x v="7"/>
    <n v="4"/>
    <n v="666"/>
    <n v="2664"/>
    <x v="5"/>
    <x v="0"/>
    <x v="3"/>
    <x v="1"/>
  </r>
  <r>
    <x v="260"/>
    <s v="Kevin Anderson"/>
    <x v="5"/>
    <n v="6"/>
    <n v="192"/>
    <n v="1152"/>
    <x v="5"/>
    <x v="0"/>
    <x v="3"/>
    <x v="6"/>
  </r>
  <r>
    <x v="261"/>
    <s v="Jessica Jones"/>
    <x v="9"/>
    <n v="1"/>
    <n v="525"/>
    <n v="525"/>
    <x v="1"/>
    <x v="0"/>
    <x v="3"/>
    <x v="4"/>
  </r>
  <r>
    <x v="261"/>
    <s v="Alexis Young"/>
    <x v="0"/>
    <n v="5"/>
    <n v="721"/>
    <n v="3605"/>
    <x v="0"/>
    <x v="0"/>
    <x v="3"/>
    <x v="4"/>
  </r>
  <r>
    <x v="261"/>
    <s v="Sharon Green"/>
    <x v="2"/>
    <n v="6"/>
    <n v="784"/>
    <n v="4704"/>
    <x v="1"/>
    <x v="0"/>
    <x v="3"/>
    <x v="4"/>
  </r>
  <r>
    <x v="262"/>
    <s v="Laura Murphy"/>
    <x v="6"/>
    <n v="6"/>
    <n v="278"/>
    <n v="1668"/>
    <x v="1"/>
    <x v="0"/>
    <x v="3"/>
    <x v="5"/>
  </r>
  <r>
    <x v="262"/>
    <s v="John Johnson"/>
    <x v="2"/>
    <n v="4"/>
    <n v="984"/>
    <n v="3936"/>
    <x v="1"/>
    <x v="0"/>
    <x v="3"/>
    <x v="5"/>
  </r>
  <r>
    <x v="3"/>
    <s v="Stephen Fox"/>
    <x v="3"/>
    <n v="2"/>
    <n v="179"/>
    <n v="358"/>
    <x v="3"/>
    <x v="0"/>
    <x v="3"/>
    <x v="0"/>
  </r>
  <r>
    <x v="3"/>
    <s v="Michelle Morrison"/>
    <x v="7"/>
    <n v="1"/>
    <n v="951"/>
    <n v="951"/>
    <x v="2"/>
    <x v="0"/>
    <x v="3"/>
    <x v="0"/>
  </r>
  <r>
    <x v="15"/>
    <s v="Desiree Mitchell"/>
    <x v="3"/>
    <n v="1"/>
    <n v="735"/>
    <n v="735"/>
    <x v="5"/>
    <x v="0"/>
    <x v="3"/>
    <x v="2"/>
  </r>
  <r>
    <x v="263"/>
    <s v="Christopher Wise"/>
    <x v="1"/>
    <n v="2"/>
    <n v="527"/>
    <n v="1054"/>
    <x v="4"/>
    <x v="0"/>
    <x v="3"/>
    <x v="1"/>
  </r>
  <r>
    <x v="263"/>
    <s v="Brian Taylor"/>
    <x v="3"/>
    <n v="3"/>
    <n v="856"/>
    <n v="2568"/>
    <x v="4"/>
    <x v="0"/>
    <x v="3"/>
    <x v="1"/>
  </r>
  <r>
    <x v="264"/>
    <s v="Mason Harvey"/>
    <x v="2"/>
    <n v="5"/>
    <n v="272"/>
    <n v="1360"/>
    <x v="0"/>
    <x v="0"/>
    <x v="3"/>
    <x v="6"/>
  </r>
  <r>
    <x v="265"/>
    <s v="Kim Roberts"/>
    <x v="8"/>
    <n v="1"/>
    <n v="376"/>
    <n v="376"/>
    <x v="5"/>
    <x v="0"/>
    <x v="3"/>
    <x v="3"/>
  </r>
  <r>
    <x v="265"/>
    <s v="Tracy Salazar"/>
    <x v="9"/>
    <n v="3"/>
    <n v="792"/>
    <n v="2376"/>
    <x v="1"/>
    <x v="0"/>
    <x v="3"/>
    <x v="3"/>
  </r>
  <r>
    <x v="266"/>
    <s v="Richard Cunningham"/>
    <x v="9"/>
    <n v="3"/>
    <n v="518"/>
    <n v="1554"/>
    <x v="5"/>
    <x v="0"/>
    <x v="3"/>
    <x v="4"/>
  </r>
  <r>
    <x v="267"/>
    <s v="Stephen Wilkerson"/>
    <x v="7"/>
    <n v="1"/>
    <n v="199"/>
    <n v="199"/>
    <x v="1"/>
    <x v="0"/>
    <x v="11"/>
    <x v="5"/>
  </r>
  <r>
    <x v="267"/>
    <s v="Destiny Byrd"/>
    <x v="8"/>
    <n v="4"/>
    <n v="465"/>
    <n v="1860"/>
    <x v="4"/>
    <x v="0"/>
    <x v="11"/>
    <x v="5"/>
  </r>
  <r>
    <x v="267"/>
    <s v="Taylor Sanchez"/>
    <x v="3"/>
    <n v="6"/>
    <n v="438"/>
    <n v="2628"/>
    <x v="2"/>
    <x v="0"/>
    <x v="11"/>
    <x v="5"/>
  </r>
  <r>
    <x v="268"/>
    <s v="Jason Ballard"/>
    <x v="9"/>
    <n v="4"/>
    <n v="759"/>
    <n v="3036"/>
    <x v="0"/>
    <x v="0"/>
    <x v="11"/>
    <x v="0"/>
  </r>
  <r>
    <x v="269"/>
    <s v="Michelle Boyle"/>
    <x v="5"/>
    <n v="3"/>
    <n v="391"/>
    <n v="1173"/>
    <x v="5"/>
    <x v="0"/>
    <x v="11"/>
    <x v="1"/>
  </r>
  <r>
    <x v="269"/>
    <s v="Mark Walker"/>
    <x v="2"/>
    <n v="5"/>
    <n v="506"/>
    <n v="2530"/>
    <x v="4"/>
    <x v="0"/>
    <x v="11"/>
    <x v="1"/>
  </r>
  <r>
    <x v="270"/>
    <s v="Cheryl Stein"/>
    <x v="1"/>
    <n v="1"/>
    <n v="255"/>
    <n v="255"/>
    <x v="2"/>
    <x v="0"/>
    <x v="11"/>
    <x v="3"/>
  </r>
  <r>
    <x v="270"/>
    <s v="Sarah Perez"/>
    <x v="2"/>
    <n v="2"/>
    <n v="566"/>
    <n v="1132"/>
    <x v="3"/>
    <x v="0"/>
    <x v="11"/>
    <x v="3"/>
  </r>
  <r>
    <x v="271"/>
    <s v="Cheryl Taylor MD"/>
    <x v="6"/>
    <n v="2"/>
    <n v="411"/>
    <n v="822"/>
    <x v="5"/>
    <x v="0"/>
    <x v="11"/>
    <x v="4"/>
  </r>
  <r>
    <x v="272"/>
    <s v="Pamela Douglas"/>
    <x v="1"/>
    <n v="6"/>
    <n v="919"/>
    <n v="5514"/>
    <x v="0"/>
    <x v="0"/>
    <x v="11"/>
    <x v="5"/>
  </r>
  <r>
    <x v="273"/>
    <s v="Linda Jenkins"/>
    <x v="3"/>
    <n v="1"/>
    <n v="313"/>
    <n v="313"/>
    <x v="0"/>
    <x v="0"/>
    <x v="11"/>
    <x v="2"/>
  </r>
  <r>
    <x v="273"/>
    <s v="Jennifer Rodriguez"/>
    <x v="0"/>
    <n v="3"/>
    <n v="519"/>
    <n v="1557"/>
    <x v="3"/>
    <x v="0"/>
    <x v="11"/>
    <x v="2"/>
  </r>
  <r>
    <x v="273"/>
    <s v="Vincent Dickson"/>
    <x v="3"/>
    <n v="6"/>
    <n v="726"/>
    <n v="4356"/>
    <x v="4"/>
    <x v="0"/>
    <x v="11"/>
    <x v="2"/>
  </r>
  <r>
    <x v="274"/>
    <s v="Adam Brooks"/>
    <x v="9"/>
    <n v="2"/>
    <n v="670"/>
    <n v="1340"/>
    <x v="0"/>
    <x v="0"/>
    <x v="11"/>
    <x v="1"/>
  </r>
  <r>
    <x v="275"/>
    <s v="Jeffrey Nelson"/>
    <x v="9"/>
    <n v="2"/>
    <n v="671"/>
    <n v="1342"/>
    <x v="4"/>
    <x v="0"/>
    <x v="11"/>
    <x v="6"/>
  </r>
  <r>
    <x v="275"/>
    <s v="Amanda Ellis"/>
    <x v="9"/>
    <n v="6"/>
    <n v="647"/>
    <n v="3882"/>
    <x v="4"/>
    <x v="0"/>
    <x v="11"/>
    <x v="6"/>
  </r>
  <r>
    <x v="276"/>
    <s v="Bruce Banks"/>
    <x v="3"/>
    <n v="1"/>
    <n v="142"/>
    <n v="142"/>
    <x v="4"/>
    <x v="0"/>
    <x v="11"/>
    <x v="3"/>
  </r>
  <r>
    <x v="276"/>
    <s v="Stacy Salas"/>
    <x v="6"/>
    <n v="4"/>
    <n v="378"/>
    <n v="1512"/>
    <x v="0"/>
    <x v="0"/>
    <x v="11"/>
    <x v="3"/>
  </r>
  <r>
    <x v="277"/>
    <s v="Teresa Huffman"/>
    <x v="1"/>
    <n v="4"/>
    <n v="321"/>
    <n v="1284"/>
    <x v="1"/>
    <x v="0"/>
    <x v="11"/>
    <x v="4"/>
  </r>
  <r>
    <x v="278"/>
    <s v="Andrew Armstrong"/>
    <x v="6"/>
    <n v="1"/>
    <n v="406"/>
    <n v="406"/>
    <x v="5"/>
    <x v="0"/>
    <x v="11"/>
    <x v="5"/>
  </r>
  <r>
    <x v="279"/>
    <s v="Christian Williams"/>
    <x v="4"/>
    <n v="2"/>
    <n v="134"/>
    <n v="268"/>
    <x v="5"/>
    <x v="0"/>
    <x v="11"/>
    <x v="0"/>
  </r>
  <r>
    <x v="280"/>
    <s v="Mrs. Dana Rodriguez"/>
    <x v="6"/>
    <n v="1"/>
    <n v="240"/>
    <n v="240"/>
    <x v="1"/>
    <x v="0"/>
    <x v="11"/>
    <x v="1"/>
  </r>
  <r>
    <x v="280"/>
    <s v="Ethan Lynch"/>
    <x v="3"/>
    <n v="5"/>
    <n v="564"/>
    <n v="2820"/>
    <x v="3"/>
    <x v="0"/>
    <x v="11"/>
    <x v="1"/>
  </r>
  <r>
    <x v="280"/>
    <s v="Ann Osborne"/>
    <x v="9"/>
    <n v="5"/>
    <n v="906"/>
    <n v="4530"/>
    <x v="0"/>
    <x v="0"/>
    <x v="11"/>
    <x v="1"/>
  </r>
  <r>
    <x v="281"/>
    <s v="Leslie Thomas"/>
    <x v="0"/>
    <n v="3"/>
    <n v="342"/>
    <n v="1026"/>
    <x v="5"/>
    <x v="0"/>
    <x v="11"/>
    <x v="6"/>
  </r>
  <r>
    <x v="281"/>
    <s v="Mckenzie Hudson"/>
    <x v="5"/>
    <n v="5"/>
    <n v="682"/>
    <n v="3410"/>
    <x v="2"/>
    <x v="0"/>
    <x v="11"/>
    <x v="6"/>
  </r>
  <r>
    <x v="282"/>
    <s v="Chelsea Morris"/>
    <x v="2"/>
    <n v="1"/>
    <n v="460"/>
    <n v="460"/>
    <x v="3"/>
    <x v="0"/>
    <x v="11"/>
    <x v="3"/>
  </r>
  <r>
    <x v="282"/>
    <s v="Anthony Flores"/>
    <x v="5"/>
    <n v="3"/>
    <n v="911"/>
    <n v="2733"/>
    <x v="1"/>
    <x v="0"/>
    <x v="11"/>
    <x v="3"/>
  </r>
  <r>
    <x v="283"/>
    <s v="Michael Burke"/>
    <x v="6"/>
    <n v="6"/>
    <n v="775"/>
    <n v="4650"/>
    <x v="3"/>
    <x v="0"/>
    <x v="11"/>
    <x v="4"/>
  </r>
  <r>
    <x v="43"/>
    <s v="Alicia Boyd"/>
    <x v="3"/>
    <n v="4"/>
    <n v="378"/>
    <n v="1512"/>
    <x v="3"/>
    <x v="0"/>
    <x v="11"/>
    <x v="5"/>
  </r>
  <r>
    <x v="284"/>
    <s v="Tiffany Le"/>
    <x v="1"/>
    <n v="5"/>
    <n v="208"/>
    <n v="1040"/>
    <x v="5"/>
    <x v="0"/>
    <x v="11"/>
    <x v="0"/>
  </r>
  <r>
    <x v="284"/>
    <s v="Mary Larsen"/>
    <x v="5"/>
    <n v="2"/>
    <n v="790"/>
    <n v="1580"/>
    <x v="3"/>
    <x v="0"/>
    <x v="11"/>
    <x v="0"/>
  </r>
  <r>
    <x v="285"/>
    <s v="Curtis Hart"/>
    <x v="5"/>
    <n v="5"/>
    <n v="211"/>
    <n v="1055"/>
    <x v="1"/>
    <x v="0"/>
    <x v="11"/>
    <x v="2"/>
  </r>
  <r>
    <x v="285"/>
    <s v="Christopher Davenport"/>
    <x v="3"/>
    <n v="5"/>
    <n v="625"/>
    <n v="3125"/>
    <x v="2"/>
    <x v="0"/>
    <x v="11"/>
    <x v="2"/>
  </r>
  <r>
    <x v="286"/>
    <s v="Kathryn Potter"/>
    <x v="5"/>
    <n v="1"/>
    <n v="746"/>
    <n v="746"/>
    <x v="4"/>
    <x v="0"/>
    <x v="11"/>
    <x v="6"/>
  </r>
  <r>
    <x v="286"/>
    <s v="Jesse Williams"/>
    <x v="5"/>
    <n v="5"/>
    <n v="811"/>
    <n v="4055"/>
    <x v="3"/>
    <x v="0"/>
    <x v="11"/>
    <x v="6"/>
  </r>
  <r>
    <x v="287"/>
    <s v="David Perez III"/>
    <x v="7"/>
    <n v="4"/>
    <n v="840"/>
    <n v="3360"/>
    <x v="4"/>
    <x v="0"/>
    <x v="11"/>
    <x v="4"/>
  </r>
  <r>
    <x v="288"/>
    <s v="Brianna Vargas"/>
    <x v="3"/>
    <n v="3"/>
    <n v="691"/>
    <n v="2073"/>
    <x v="3"/>
    <x v="0"/>
    <x v="11"/>
    <x v="5"/>
  </r>
  <r>
    <x v="30"/>
    <s v="Tiffany Norman"/>
    <x v="1"/>
    <n v="3"/>
    <n v="832"/>
    <n v="2496"/>
    <x v="2"/>
    <x v="0"/>
    <x v="11"/>
    <x v="0"/>
  </r>
  <r>
    <x v="32"/>
    <s v="Laura Frye"/>
    <x v="7"/>
    <n v="3"/>
    <n v="627"/>
    <n v="1882"/>
    <x v="4"/>
    <x v="0"/>
    <x v="8"/>
    <x v="6"/>
  </r>
  <r>
    <x v="289"/>
    <s v="Joshua Craig"/>
    <x v="7"/>
    <n v="3"/>
    <n v="627"/>
    <n v="1882"/>
    <x v="2"/>
    <x v="0"/>
    <x v="2"/>
    <x v="3"/>
  </r>
  <r>
    <x v="34"/>
    <s v="Marissa Walker"/>
    <x v="2"/>
    <n v="3"/>
    <n v="627"/>
    <n v="1882"/>
    <x v="4"/>
    <x v="0"/>
    <x v="2"/>
    <x v="0"/>
  </r>
  <r>
    <x v="290"/>
    <s v="Kathleen Powell"/>
    <x v="0"/>
    <n v="3"/>
    <n v="627"/>
    <n v="1882"/>
    <x v="0"/>
    <x v="0"/>
    <x v="3"/>
    <x v="3"/>
  </r>
  <r>
    <x v="54"/>
    <s v="Rebecca Ramos"/>
    <x v="6"/>
    <n v="3"/>
    <n v="120"/>
    <n v="360"/>
    <x v="0"/>
    <x v="0"/>
    <x v="8"/>
    <x v="3"/>
  </r>
  <r>
    <x v="63"/>
    <s v="George Wright"/>
    <x v="4"/>
    <n v="3"/>
    <n v="370"/>
    <n v="1110"/>
    <x v="4"/>
    <x v="0"/>
    <x v="0"/>
    <x v="4"/>
  </r>
  <r>
    <x v="74"/>
    <s v="Stephen Ramirez"/>
    <x v="7"/>
    <n v="3"/>
    <n v="328"/>
    <n v="984"/>
    <x v="3"/>
    <x v="0"/>
    <x v="0"/>
    <x v="1"/>
  </r>
  <r>
    <x v="75"/>
    <s v="Michael Wade"/>
    <x v="9"/>
    <n v="3"/>
    <n v="303"/>
    <n v="909"/>
    <x v="0"/>
    <x v="0"/>
    <x v="0"/>
    <x v="6"/>
  </r>
  <r>
    <x v="78"/>
    <s v="Candace Warner"/>
    <x v="0"/>
    <n v="3"/>
    <n v="655"/>
    <n v="1965"/>
    <x v="5"/>
    <x v="0"/>
    <x v="0"/>
    <x v="0"/>
  </r>
  <r>
    <x v="80"/>
    <s v="Roger Baker"/>
    <x v="5"/>
    <n v="3"/>
    <n v="108"/>
    <n v="324"/>
    <x v="4"/>
    <x v="0"/>
    <x v="0"/>
    <x v="6"/>
  </r>
  <r>
    <x v="87"/>
    <s v="Amber Kennedy"/>
    <x v="8"/>
    <n v="3"/>
    <n v="229"/>
    <n v="687"/>
    <x v="2"/>
    <x v="0"/>
    <x v="1"/>
    <x v="0"/>
  </r>
  <r>
    <x v="99"/>
    <s v="Cassandra Mckenzie"/>
    <x v="2"/>
    <n v="3"/>
    <n v="557"/>
    <n v="1671"/>
    <x v="1"/>
    <x v="0"/>
    <x v="1"/>
    <x v="5"/>
  </r>
  <r>
    <x v="137"/>
    <s v="Jillian Kaufman"/>
    <x v="8"/>
    <n v="3"/>
    <n v="623"/>
    <n v="1869"/>
    <x v="2"/>
    <x v="0"/>
    <x v="9"/>
    <x v="1"/>
  </r>
  <r>
    <x v="158"/>
    <s v="Denise Valencia"/>
    <x v="8"/>
    <n v="3"/>
    <n v="370"/>
    <n v="1110"/>
    <x v="3"/>
    <x v="0"/>
    <x v="10"/>
    <x v="1"/>
  </r>
  <r>
    <x v="199"/>
    <s v="Brian Brooks"/>
    <x v="4"/>
    <n v="3"/>
    <n v="424"/>
    <n v="1272"/>
    <x v="3"/>
    <x v="0"/>
    <x v="5"/>
    <x v="4"/>
  </r>
  <r>
    <x v="291"/>
    <s v="Timothy Simpson"/>
    <x v="2"/>
    <n v="3"/>
    <n v="360"/>
    <n v="1080"/>
    <x v="3"/>
    <x v="0"/>
    <x v="7"/>
    <x v="1"/>
  </r>
  <r>
    <x v="285"/>
    <s v="Brian Reyes"/>
    <x v="8"/>
    <n v="3"/>
    <n v="538"/>
    <n v="1614"/>
    <x v="1"/>
    <x v="0"/>
    <x v="11"/>
    <x v="2"/>
  </r>
  <r>
    <x v="16"/>
    <s v="Victoria Jordan"/>
    <x v="3"/>
    <n v="4"/>
    <n v="470"/>
    <n v="1882"/>
    <x v="5"/>
    <x v="0"/>
    <x v="8"/>
    <x v="6"/>
  </r>
  <r>
    <x v="51"/>
    <s v="Nicholas Williams"/>
    <x v="2"/>
    <n v="6"/>
    <n v="314"/>
    <n v="1882"/>
    <x v="3"/>
    <x v="0"/>
    <x v="8"/>
    <x v="0"/>
  </r>
  <r>
    <x v="17"/>
    <s v="Linda Stout"/>
    <x v="9"/>
    <n v="4"/>
    <n v="470"/>
    <n v="1882"/>
    <x v="3"/>
    <x v="0"/>
    <x v="8"/>
    <x v="2"/>
  </r>
  <r>
    <x v="292"/>
    <s v="Savannah Stevens"/>
    <x v="8"/>
    <n v="1"/>
    <n v="1882"/>
    <n v="1882"/>
    <x v="2"/>
    <x v="0"/>
    <x v="1"/>
    <x v="1"/>
  </r>
  <r>
    <x v="116"/>
    <s v="Stephanie Hill"/>
    <x v="3"/>
    <n v="5"/>
    <n v="376"/>
    <n v="1882"/>
    <x v="3"/>
    <x v="0"/>
    <x v="2"/>
    <x v="0"/>
  </r>
  <r>
    <x v="148"/>
    <s v="Angela Smith"/>
    <x v="2"/>
    <n v="1"/>
    <n v="1882"/>
    <n v="1882"/>
    <x v="2"/>
    <x v="0"/>
    <x v="10"/>
    <x v="1"/>
  </r>
  <r>
    <x v="154"/>
    <s v="Lisa Smith PhD"/>
    <x v="4"/>
    <n v="6"/>
    <n v="314"/>
    <n v="1882"/>
    <x v="1"/>
    <x v="0"/>
    <x v="10"/>
    <x v="3"/>
  </r>
  <r>
    <x v="165"/>
    <s v="Christina Warren"/>
    <x v="8"/>
    <n v="5"/>
    <n v="376"/>
    <n v="1882"/>
    <x v="3"/>
    <x v="0"/>
    <x v="10"/>
    <x v="6"/>
  </r>
  <r>
    <x v="178"/>
    <s v="Tanya Williams"/>
    <x v="9"/>
    <n v="6"/>
    <n v="314"/>
    <n v="1882"/>
    <x v="5"/>
    <x v="0"/>
    <x v="4"/>
    <x v="3"/>
  </r>
  <r>
    <x v="190"/>
    <s v="Pamela Porter"/>
    <x v="9"/>
    <n v="6"/>
    <n v="314"/>
    <n v="1882"/>
    <x v="0"/>
    <x v="0"/>
    <x v="4"/>
    <x v="0"/>
  </r>
  <r>
    <x v="7"/>
    <s v="Regina Chung"/>
    <x v="7"/>
    <n v="3"/>
    <n v="627"/>
    <n v="1882"/>
    <x v="4"/>
    <x v="0"/>
    <x v="5"/>
    <x v="5"/>
  </r>
  <r>
    <x v="216"/>
    <s v="Matthew Anderson"/>
    <x v="5"/>
    <n v="6"/>
    <n v="314"/>
    <n v="1882"/>
    <x v="3"/>
    <x v="0"/>
    <x v="6"/>
    <x v="6"/>
  </r>
  <r>
    <x v="42"/>
    <s v="Cynthia Jimenez"/>
    <x v="2"/>
    <n v="3"/>
    <n v="627"/>
    <n v="1882"/>
    <x v="4"/>
    <x v="0"/>
    <x v="6"/>
    <x v="5"/>
  </r>
  <r>
    <x v="26"/>
    <s v="Jason Baker"/>
    <x v="8"/>
    <n v="3"/>
    <n v="627"/>
    <n v="1882"/>
    <x v="0"/>
    <x v="0"/>
    <x v="7"/>
    <x v="0"/>
  </r>
  <r>
    <x v="238"/>
    <s v="Elizabeth Wilson"/>
    <x v="9"/>
    <n v="2"/>
    <n v="941"/>
    <n v="1882"/>
    <x v="2"/>
    <x v="0"/>
    <x v="7"/>
    <x v="4"/>
  </r>
  <r>
    <x v="17"/>
    <s v="Kathleen Galloway"/>
    <x v="0"/>
    <n v="3"/>
    <n v="850"/>
    <n v="2550"/>
    <x v="0"/>
    <x v="0"/>
    <x v="8"/>
    <x v="2"/>
  </r>
  <r>
    <x v="71"/>
    <s v="Kimberly Paul"/>
    <x v="8"/>
    <n v="3"/>
    <n v="702"/>
    <n v="2105"/>
    <x v="5"/>
    <x v="0"/>
    <x v="0"/>
    <x v="5"/>
  </r>
  <r>
    <x v="83"/>
    <s v="Kathryn Neal"/>
    <x v="0"/>
    <n v="3"/>
    <n v="171"/>
    <n v="514"/>
    <x v="2"/>
    <x v="0"/>
    <x v="1"/>
    <x v="6"/>
  </r>
  <r>
    <x v="293"/>
    <s v="Patricia Moreno"/>
    <x v="8"/>
    <n v="3"/>
    <n v="151"/>
    <n v="452"/>
    <x v="1"/>
    <x v="0"/>
    <x v="2"/>
    <x v="6"/>
  </r>
  <r>
    <x v="135"/>
    <s v="Lee Anderson"/>
    <x v="0"/>
    <n v="3"/>
    <n v="1184"/>
    <n v="3552"/>
    <x v="4"/>
    <x v="0"/>
    <x v="9"/>
    <x v="5"/>
  </r>
  <r>
    <x v="294"/>
    <s v="Selena Hall"/>
    <x v="1"/>
    <n v="3"/>
    <n v="864"/>
    <n v="2592"/>
    <x v="3"/>
    <x v="0"/>
    <x v="10"/>
    <x v="6"/>
  </r>
  <r>
    <x v="185"/>
    <s v="Joshua Martinez"/>
    <x v="5"/>
    <n v="3"/>
    <n v="676"/>
    <n v="2028"/>
    <x v="2"/>
    <x v="0"/>
    <x v="4"/>
    <x v="5"/>
  </r>
  <r>
    <x v="295"/>
    <s v="Mr. Darren Lang"/>
    <x v="0"/>
    <n v="3"/>
    <n v="425"/>
    <n v="1275"/>
    <x v="1"/>
    <x v="0"/>
    <x v="4"/>
    <x v="4"/>
  </r>
  <r>
    <x v="208"/>
    <s v="Cindy Spence"/>
    <x v="6"/>
    <n v="3"/>
    <n v="124"/>
    <n v="371"/>
    <x v="5"/>
    <x v="0"/>
    <x v="5"/>
    <x v="3"/>
  </r>
  <r>
    <x v="40"/>
    <s v="Jose Brown"/>
    <x v="8"/>
    <n v="3"/>
    <n v="787"/>
    <n v="2360"/>
    <x v="5"/>
    <x v="0"/>
    <x v="5"/>
    <x v="4"/>
  </r>
  <r>
    <x v="216"/>
    <s v="Lisa Valdez"/>
    <x v="4"/>
    <n v="3"/>
    <n v="1194"/>
    <n v="3582"/>
    <x v="4"/>
    <x v="0"/>
    <x v="6"/>
    <x v="6"/>
  </r>
  <r>
    <x v="282"/>
    <s v="Teresa Dean"/>
    <x v="0"/>
    <n v="3"/>
    <n v="633"/>
    <n v="1899"/>
    <x v="1"/>
    <x v="0"/>
    <x v="11"/>
    <x v="3"/>
  </r>
  <r>
    <x v="30"/>
    <s v="Debbie Chang"/>
    <x v="8"/>
    <n v="3"/>
    <n v="230"/>
    <n v="690"/>
    <x v="3"/>
    <x v="0"/>
    <x v="11"/>
    <x v="0"/>
  </r>
  <r>
    <x v="44"/>
    <s v="Rebecca Ruiz"/>
    <x v="0"/>
    <n v="5"/>
    <n v="446"/>
    <n v="2230"/>
    <x v="4"/>
    <x v="0"/>
    <x v="8"/>
    <x v="2"/>
  </r>
  <r>
    <x v="45"/>
    <s v="Mary West"/>
    <x v="8"/>
    <n v="3"/>
    <n v="459"/>
    <n v="1377"/>
    <x v="4"/>
    <x v="0"/>
    <x v="8"/>
    <x v="1"/>
  </r>
  <r>
    <x v="46"/>
    <s v="Connor Douglas"/>
    <x v="4"/>
    <n v="1"/>
    <n v="197"/>
    <n v="197"/>
    <x v="0"/>
    <x v="0"/>
    <x v="8"/>
    <x v="6"/>
  </r>
  <r>
    <x v="47"/>
    <s v="Victoria Green"/>
    <x v="6"/>
    <n v="3"/>
    <n v="497"/>
    <n v="1491"/>
    <x v="1"/>
    <x v="0"/>
    <x v="8"/>
    <x v="3"/>
  </r>
  <r>
    <x v="48"/>
    <s v="Jason Maxwell"/>
    <x v="7"/>
    <n v="1"/>
    <n v="300"/>
    <n v="300"/>
    <x v="1"/>
    <x v="0"/>
    <x v="8"/>
    <x v="4"/>
  </r>
  <r>
    <x v="296"/>
    <s v="Victoria Jackson"/>
    <x v="5"/>
    <n v="3"/>
    <n v="323"/>
    <n v="969"/>
    <x v="3"/>
    <x v="0"/>
    <x v="8"/>
    <x v="5"/>
  </r>
  <r>
    <x v="49"/>
    <s v="Lisa Sutton DDS"/>
    <x v="4"/>
    <n v="5"/>
    <n v="303"/>
    <n v="1515"/>
    <x v="0"/>
    <x v="0"/>
    <x v="8"/>
    <x v="1"/>
  </r>
  <r>
    <x v="16"/>
    <s v="Gregory Pearson"/>
    <x v="2"/>
    <n v="2"/>
    <n v="397"/>
    <n v="794"/>
    <x v="0"/>
    <x v="0"/>
    <x v="8"/>
    <x v="6"/>
  </r>
  <r>
    <x v="16"/>
    <s v="Ethan Gentry"/>
    <x v="8"/>
    <n v="3"/>
    <n v="706"/>
    <n v="2118"/>
    <x v="2"/>
    <x v="0"/>
    <x v="8"/>
    <x v="6"/>
  </r>
  <r>
    <x v="31"/>
    <s v="Jenna Hardin"/>
    <x v="9"/>
    <n v="6"/>
    <n v="281"/>
    <n v="1686"/>
    <x v="3"/>
    <x v="0"/>
    <x v="8"/>
    <x v="4"/>
  </r>
  <r>
    <x v="31"/>
    <s v="Garrett Jarvis"/>
    <x v="4"/>
    <n v="6"/>
    <n v="730"/>
    <n v="4380"/>
    <x v="5"/>
    <x v="0"/>
    <x v="8"/>
    <x v="4"/>
  </r>
  <r>
    <x v="50"/>
    <s v="James Rowe"/>
    <x v="2"/>
    <n v="5"/>
    <n v="357"/>
    <n v="1785"/>
    <x v="1"/>
    <x v="0"/>
    <x v="8"/>
    <x v="5"/>
  </r>
  <r>
    <x v="297"/>
    <s v="Susan Hamilton"/>
    <x v="1"/>
    <n v="4"/>
    <n v="985"/>
    <n v="3940"/>
    <x v="4"/>
    <x v="0"/>
    <x v="8"/>
    <x v="2"/>
  </r>
  <r>
    <x v="53"/>
    <s v="Andrew Gardner"/>
    <x v="0"/>
    <n v="5"/>
    <n v="102"/>
    <n v="510"/>
    <x v="5"/>
    <x v="0"/>
    <x v="8"/>
    <x v="6"/>
  </r>
  <r>
    <x v="54"/>
    <s v="Michael Davis"/>
    <x v="3"/>
    <n v="6"/>
    <n v="614"/>
    <n v="3684"/>
    <x v="1"/>
    <x v="0"/>
    <x v="8"/>
    <x v="3"/>
  </r>
  <r>
    <x v="55"/>
    <s v="Kenneth Gomez"/>
    <x v="2"/>
    <n v="4"/>
    <n v="799"/>
    <n v="3196"/>
    <x v="3"/>
    <x v="0"/>
    <x v="8"/>
    <x v="4"/>
  </r>
  <r>
    <x v="56"/>
    <s v="Susan Huff"/>
    <x v="7"/>
    <n v="1"/>
    <n v="550"/>
    <n v="550"/>
    <x v="5"/>
    <x v="0"/>
    <x v="8"/>
    <x v="5"/>
  </r>
  <r>
    <x v="298"/>
    <s v="Miranda Gonzalez"/>
    <x v="7"/>
    <n v="3"/>
    <n v="276"/>
    <n v="828"/>
    <x v="4"/>
    <x v="0"/>
    <x v="8"/>
    <x v="0"/>
  </r>
  <r>
    <x v="57"/>
    <s v="Cynthia King"/>
    <x v="2"/>
    <n v="1"/>
    <n v="196"/>
    <n v="196"/>
    <x v="0"/>
    <x v="0"/>
    <x v="8"/>
    <x v="6"/>
  </r>
  <r>
    <x v="57"/>
    <s v="Glenda Hernandez"/>
    <x v="9"/>
    <n v="2"/>
    <n v="891"/>
    <n v="1782"/>
    <x v="4"/>
    <x v="0"/>
    <x v="8"/>
    <x v="6"/>
  </r>
  <r>
    <x v="299"/>
    <s v="Rachel Mccoy"/>
    <x v="5"/>
    <n v="2"/>
    <n v="746"/>
    <n v="1492"/>
    <x v="5"/>
    <x v="0"/>
    <x v="8"/>
    <x v="3"/>
  </r>
  <r>
    <x v="59"/>
    <s v="Kayla Bowen"/>
    <x v="4"/>
    <n v="1"/>
    <n v="226"/>
    <n v="226"/>
    <x v="0"/>
    <x v="0"/>
    <x v="8"/>
    <x v="5"/>
  </r>
  <r>
    <x v="59"/>
    <s v="Natasha Smith"/>
    <x v="6"/>
    <n v="3"/>
    <n v="260"/>
    <n v="780"/>
    <x v="5"/>
    <x v="0"/>
    <x v="8"/>
    <x v="5"/>
  </r>
  <r>
    <x v="59"/>
    <s v="Timothy Armstrong"/>
    <x v="6"/>
    <n v="3"/>
    <n v="419"/>
    <n v="1257"/>
    <x v="5"/>
    <x v="0"/>
    <x v="8"/>
    <x v="5"/>
  </r>
  <r>
    <x v="59"/>
    <s v="Taylor Gibson"/>
    <x v="5"/>
    <n v="3"/>
    <n v="920"/>
    <n v="2760"/>
    <x v="5"/>
    <x v="0"/>
    <x v="8"/>
    <x v="5"/>
  </r>
  <r>
    <x v="59"/>
    <s v="Brett Gilbert"/>
    <x v="6"/>
    <n v="4"/>
    <n v="746"/>
    <n v="2984"/>
    <x v="2"/>
    <x v="0"/>
    <x v="8"/>
    <x v="5"/>
  </r>
  <r>
    <x v="18"/>
    <s v="Samuel Baldwin"/>
    <x v="0"/>
    <n v="5"/>
    <n v="295"/>
    <n v="1475"/>
    <x v="0"/>
    <x v="0"/>
    <x v="8"/>
    <x v="0"/>
  </r>
  <r>
    <x v="18"/>
    <s v="Daniel Butler"/>
    <x v="6"/>
    <n v="4"/>
    <n v="480"/>
    <n v="1920"/>
    <x v="0"/>
    <x v="0"/>
    <x v="8"/>
    <x v="0"/>
  </r>
  <r>
    <x v="18"/>
    <s v="Amy Saunders"/>
    <x v="1"/>
    <n v="5"/>
    <n v="403"/>
    <n v="2015"/>
    <x v="5"/>
    <x v="0"/>
    <x v="8"/>
    <x v="0"/>
  </r>
  <r>
    <x v="18"/>
    <s v="Aaron Mcbride"/>
    <x v="3"/>
    <n v="3"/>
    <n v="999"/>
    <n v="2997"/>
    <x v="0"/>
    <x v="0"/>
    <x v="8"/>
    <x v="0"/>
  </r>
  <r>
    <x v="60"/>
    <s v="Richard Goodman"/>
    <x v="9"/>
    <n v="1"/>
    <n v="794"/>
    <n v="794"/>
    <x v="5"/>
    <x v="0"/>
    <x v="8"/>
    <x v="2"/>
  </r>
  <r>
    <x v="61"/>
    <s v="Tara Durham"/>
    <x v="9"/>
    <n v="2"/>
    <n v="331"/>
    <n v="662"/>
    <x v="3"/>
    <x v="0"/>
    <x v="8"/>
    <x v="1"/>
  </r>
  <r>
    <x v="61"/>
    <s v="Stacy Fox"/>
    <x v="2"/>
    <n v="2"/>
    <n v="427"/>
    <n v="854"/>
    <x v="2"/>
    <x v="0"/>
    <x v="8"/>
    <x v="1"/>
  </r>
  <r>
    <x v="32"/>
    <s v="Gloria Marks"/>
    <x v="7"/>
    <n v="4"/>
    <n v="420"/>
    <n v="1680"/>
    <x v="4"/>
    <x v="0"/>
    <x v="8"/>
    <x v="6"/>
  </r>
  <r>
    <x v="63"/>
    <s v="Marcus Wright"/>
    <x v="3"/>
    <n v="2"/>
    <n v="706"/>
    <n v="1412"/>
    <x v="2"/>
    <x v="0"/>
    <x v="0"/>
    <x v="4"/>
  </r>
  <r>
    <x v="63"/>
    <s v="Christine Roberts"/>
    <x v="9"/>
    <n v="5"/>
    <n v="517"/>
    <n v="2585"/>
    <x v="4"/>
    <x v="0"/>
    <x v="0"/>
    <x v="4"/>
  </r>
  <r>
    <x v="19"/>
    <s v="Abigail Kent"/>
    <x v="2"/>
    <n v="1"/>
    <n v="940"/>
    <n v="940"/>
    <x v="3"/>
    <x v="0"/>
    <x v="0"/>
    <x v="5"/>
  </r>
  <r>
    <x v="19"/>
    <s v="Sharon Collins"/>
    <x v="3"/>
    <n v="4"/>
    <n v="539"/>
    <n v="2156"/>
    <x v="4"/>
    <x v="0"/>
    <x v="0"/>
    <x v="5"/>
  </r>
  <r>
    <x v="64"/>
    <s v="Bailey Huynh"/>
    <x v="4"/>
    <n v="4"/>
    <n v="745"/>
    <n v="2980"/>
    <x v="1"/>
    <x v="0"/>
    <x v="0"/>
    <x v="0"/>
  </r>
  <r>
    <x v="300"/>
    <s v="Amanda Rodriguez"/>
    <x v="2"/>
    <n v="5"/>
    <n v="112"/>
    <n v="560"/>
    <x v="3"/>
    <x v="0"/>
    <x v="0"/>
    <x v="2"/>
  </r>
  <r>
    <x v="66"/>
    <s v="James Guzman"/>
    <x v="3"/>
    <n v="1"/>
    <n v="171"/>
    <n v="171"/>
    <x v="1"/>
    <x v="0"/>
    <x v="0"/>
    <x v="6"/>
  </r>
  <r>
    <x v="66"/>
    <s v="Brendan Hill"/>
    <x v="7"/>
    <n v="3"/>
    <n v="473"/>
    <n v="1419"/>
    <x v="3"/>
    <x v="0"/>
    <x v="0"/>
    <x v="6"/>
  </r>
  <r>
    <x v="67"/>
    <s v="Megan Thomas"/>
    <x v="0"/>
    <n v="5"/>
    <n v="96"/>
    <n v="480"/>
    <x v="1"/>
    <x v="0"/>
    <x v="0"/>
    <x v="4"/>
  </r>
  <r>
    <x v="67"/>
    <s v="Thomas Murray"/>
    <x v="4"/>
    <n v="3"/>
    <n v="306"/>
    <n v="918"/>
    <x v="3"/>
    <x v="0"/>
    <x v="0"/>
    <x v="4"/>
  </r>
  <r>
    <x v="67"/>
    <s v="Joshua Owens"/>
    <x v="5"/>
    <n v="2"/>
    <n v="841"/>
    <n v="1682"/>
    <x v="2"/>
    <x v="0"/>
    <x v="0"/>
    <x v="4"/>
  </r>
  <r>
    <x v="67"/>
    <s v="Brittany Jefferson"/>
    <x v="6"/>
    <n v="4"/>
    <n v="541"/>
    <n v="2164"/>
    <x v="3"/>
    <x v="0"/>
    <x v="0"/>
    <x v="4"/>
  </r>
  <r>
    <x v="301"/>
    <s v="Michael Deleon"/>
    <x v="1"/>
    <n v="1"/>
    <n v="670"/>
    <n v="670"/>
    <x v="0"/>
    <x v="0"/>
    <x v="0"/>
    <x v="5"/>
  </r>
  <r>
    <x v="0"/>
    <s v="Patrick Davis"/>
    <x v="6"/>
    <n v="4"/>
    <n v="341"/>
    <n v="1364"/>
    <x v="3"/>
    <x v="0"/>
    <x v="0"/>
    <x v="0"/>
  </r>
  <r>
    <x v="68"/>
    <s v="Maria Skinner"/>
    <x v="6"/>
    <n v="1"/>
    <n v="424"/>
    <n v="424"/>
    <x v="0"/>
    <x v="0"/>
    <x v="0"/>
    <x v="2"/>
  </r>
  <r>
    <x v="68"/>
    <s v="Mary Stewart"/>
    <x v="3"/>
    <n v="2"/>
    <n v="751"/>
    <n v="1502"/>
    <x v="3"/>
    <x v="0"/>
    <x v="0"/>
    <x v="2"/>
  </r>
  <r>
    <x v="68"/>
    <s v="Timothy King"/>
    <x v="8"/>
    <n v="4"/>
    <n v="748"/>
    <n v="2992"/>
    <x v="2"/>
    <x v="0"/>
    <x v="0"/>
    <x v="2"/>
  </r>
  <r>
    <x v="68"/>
    <s v="Jessica Vaughan"/>
    <x v="9"/>
    <n v="4"/>
    <n v="960"/>
    <n v="3840"/>
    <x v="3"/>
    <x v="0"/>
    <x v="0"/>
    <x v="2"/>
  </r>
  <r>
    <x v="69"/>
    <s v="Jasmine Nelson MD"/>
    <x v="8"/>
    <n v="6"/>
    <n v="582"/>
    <n v="3492"/>
    <x v="1"/>
    <x v="0"/>
    <x v="0"/>
    <x v="1"/>
  </r>
  <r>
    <x v="69"/>
    <s v="Jennifer Nelson"/>
    <x v="1"/>
    <n v="5"/>
    <n v="744"/>
    <n v="3720"/>
    <x v="4"/>
    <x v="0"/>
    <x v="0"/>
    <x v="1"/>
  </r>
  <r>
    <x v="302"/>
    <s v="Jose Taylor"/>
    <x v="9"/>
    <n v="4"/>
    <n v="860"/>
    <n v="3440"/>
    <x v="5"/>
    <x v="0"/>
    <x v="0"/>
    <x v="4"/>
  </r>
  <r>
    <x v="71"/>
    <s v="Ian Tran"/>
    <x v="1"/>
    <n v="5"/>
    <n v="616"/>
    <n v="3080"/>
    <x v="1"/>
    <x v="0"/>
    <x v="0"/>
    <x v="5"/>
  </r>
  <r>
    <x v="72"/>
    <s v="Nicole Flores"/>
    <x v="2"/>
    <n v="1"/>
    <n v="605"/>
    <n v="605"/>
    <x v="4"/>
    <x v="0"/>
    <x v="0"/>
    <x v="0"/>
  </r>
  <r>
    <x v="72"/>
    <s v="William Morales"/>
    <x v="8"/>
    <n v="2"/>
    <n v="776"/>
    <n v="1552"/>
    <x v="0"/>
    <x v="0"/>
    <x v="0"/>
    <x v="0"/>
  </r>
  <r>
    <x v="73"/>
    <s v="Elizabeth Wu"/>
    <x v="9"/>
    <n v="1"/>
    <n v="475"/>
    <n v="475"/>
    <x v="4"/>
    <x v="0"/>
    <x v="0"/>
    <x v="2"/>
  </r>
  <r>
    <x v="73"/>
    <s v="Christina Park"/>
    <x v="5"/>
    <n v="6"/>
    <n v="352"/>
    <n v="2112"/>
    <x v="0"/>
    <x v="0"/>
    <x v="0"/>
    <x v="2"/>
  </r>
  <r>
    <x v="74"/>
    <s v="Bobby Ewing"/>
    <x v="1"/>
    <n v="6"/>
    <n v="138"/>
    <n v="828"/>
    <x v="1"/>
    <x v="0"/>
    <x v="0"/>
    <x v="1"/>
  </r>
  <r>
    <x v="74"/>
    <s v="Amy Larson"/>
    <x v="1"/>
    <n v="6"/>
    <n v="460"/>
    <n v="2760"/>
    <x v="3"/>
    <x v="0"/>
    <x v="0"/>
    <x v="1"/>
  </r>
  <r>
    <x v="74"/>
    <s v="Erik Hinton"/>
    <x v="5"/>
    <n v="6"/>
    <n v="762"/>
    <n v="4572"/>
    <x v="3"/>
    <x v="0"/>
    <x v="0"/>
    <x v="1"/>
  </r>
  <r>
    <x v="303"/>
    <s v="Barbara Taylor"/>
    <x v="6"/>
    <n v="3"/>
    <n v="614"/>
    <n v="1842"/>
    <x v="0"/>
    <x v="0"/>
    <x v="0"/>
    <x v="3"/>
  </r>
  <r>
    <x v="76"/>
    <s v="Christina Roach"/>
    <x v="2"/>
    <n v="3"/>
    <n v="545"/>
    <n v="1635"/>
    <x v="5"/>
    <x v="0"/>
    <x v="0"/>
    <x v="4"/>
  </r>
  <r>
    <x v="77"/>
    <s v="Jennifer Oliver"/>
    <x v="9"/>
    <n v="6"/>
    <n v="117"/>
    <n v="702"/>
    <x v="1"/>
    <x v="0"/>
    <x v="0"/>
    <x v="5"/>
  </r>
  <r>
    <x v="78"/>
    <s v="Samantha Roy"/>
    <x v="3"/>
    <n v="4"/>
    <n v="620"/>
    <n v="2480"/>
    <x v="3"/>
    <x v="0"/>
    <x v="0"/>
    <x v="0"/>
  </r>
  <r>
    <x v="4"/>
    <s v="Scott Hamilton"/>
    <x v="0"/>
    <n v="5"/>
    <n v="145"/>
    <n v="725"/>
    <x v="2"/>
    <x v="0"/>
    <x v="0"/>
    <x v="2"/>
  </r>
  <r>
    <x v="4"/>
    <s v="Christine Gordon"/>
    <x v="5"/>
    <n v="5"/>
    <n v="581"/>
    <n v="2905"/>
    <x v="4"/>
    <x v="0"/>
    <x v="0"/>
    <x v="2"/>
  </r>
  <r>
    <x v="79"/>
    <s v="Marvin Knapp"/>
    <x v="7"/>
    <n v="2"/>
    <n v="617"/>
    <n v="1234"/>
    <x v="4"/>
    <x v="0"/>
    <x v="0"/>
    <x v="1"/>
  </r>
  <r>
    <x v="79"/>
    <s v="David Booth"/>
    <x v="3"/>
    <n v="3"/>
    <n v="711"/>
    <n v="2133"/>
    <x v="0"/>
    <x v="0"/>
    <x v="0"/>
    <x v="1"/>
  </r>
  <r>
    <x v="81"/>
    <s v="Sharon Oneill"/>
    <x v="8"/>
    <n v="1"/>
    <n v="368"/>
    <n v="368"/>
    <x v="3"/>
    <x v="0"/>
    <x v="1"/>
    <x v="4"/>
  </r>
  <r>
    <x v="81"/>
    <s v="Scott Woodard"/>
    <x v="3"/>
    <n v="3"/>
    <n v="478"/>
    <n v="1434"/>
    <x v="0"/>
    <x v="0"/>
    <x v="1"/>
    <x v="4"/>
  </r>
  <r>
    <x v="81"/>
    <s v="Joseph Williams"/>
    <x v="7"/>
    <n v="5"/>
    <n v="838"/>
    <n v="4190"/>
    <x v="1"/>
    <x v="0"/>
    <x v="1"/>
    <x v="4"/>
  </r>
  <r>
    <x v="1"/>
    <s v="Laura Richardson"/>
    <x v="2"/>
    <n v="1"/>
    <n v="767"/>
    <n v="767"/>
    <x v="0"/>
    <x v="0"/>
    <x v="1"/>
    <x v="0"/>
  </r>
  <r>
    <x v="1"/>
    <s v="Crystal Wilson"/>
    <x v="2"/>
    <n v="6"/>
    <n v="703"/>
    <n v="4218"/>
    <x v="0"/>
    <x v="0"/>
    <x v="1"/>
    <x v="0"/>
  </r>
  <r>
    <x v="82"/>
    <s v="Marc Wallace"/>
    <x v="5"/>
    <n v="3"/>
    <n v="738"/>
    <n v="2214"/>
    <x v="4"/>
    <x v="0"/>
    <x v="1"/>
    <x v="2"/>
  </r>
  <r>
    <x v="84"/>
    <s v="Alexandra Curtis"/>
    <x v="1"/>
    <n v="2"/>
    <n v="788"/>
    <n v="1576"/>
    <x v="2"/>
    <x v="0"/>
    <x v="1"/>
    <x v="3"/>
  </r>
  <r>
    <x v="84"/>
    <s v="Isaac May"/>
    <x v="2"/>
    <n v="6"/>
    <n v="465"/>
    <n v="2790"/>
    <x v="2"/>
    <x v="0"/>
    <x v="1"/>
    <x v="3"/>
  </r>
  <r>
    <x v="85"/>
    <s v="Kelly Black"/>
    <x v="7"/>
    <n v="5"/>
    <n v="635"/>
    <n v="3175"/>
    <x v="2"/>
    <x v="0"/>
    <x v="1"/>
    <x v="4"/>
  </r>
  <r>
    <x v="86"/>
    <s v="Carrie Kirby"/>
    <x v="0"/>
    <n v="6"/>
    <n v="82"/>
    <n v="492"/>
    <x v="5"/>
    <x v="0"/>
    <x v="1"/>
    <x v="5"/>
  </r>
  <r>
    <x v="86"/>
    <s v="Karen Tucker"/>
    <x v="1"/>
    <n v="6"/>
    <n v="165"/>
    <n v="990"/>
    <x v="1"/>
    <x v="0"/>
    <x v="1"/>
    <x v="5"/>
  </r>
  <r>
    <x v="87"/>
    <s v="Jacob Hall"/>
    <x v="2"/>
    <n v="3"/>
    <n v="188"/>
    <n v="564"/>
    <x v="5"/>
    <x v="0"/>
    <x v="1"/>
    <x v="0"/>
  </r>
  <r>
    <x v="87"/>
    <s v="Daniel Henderson"/>
    <x v="8"/>
    <n v="2"/>
    <n v="726"/>
    <n v="1452"/>
    <x v="3"/>
    <x v="0"/>
    <x v="1"/>
    <x v="0"/>
  </r>
  <r>
    <x v="87"/>
    <s v="Robert Bush"/>
    <x v="5"/>
    <n v="5"/>
    <n v="825"/>
    <n v="4125"/>
    <x v="0"/>
    <x v="0"/>
    <x v="1"/>
    <x v="0"/>
  </r>
  <r>
    <x v="88"/>
    <s v="Danielle Whitaker"/>
    <x v="0"/>
    <n v="6"/>
    <n v="265"/>
    <n v="1590"/>
    <x v="0"/>
    <x v="0"/>
    <x v="1"/>
    <x v="2"/>
  </r>
  <r>
    <x v="89"/>
    <s v="Christopher Cruz"/>
    <x v="3"/>
    <n v="4"/>
    <n v="72"/>
    <n v="288"/>
    <x v="3"/>
    <x v="0"/>
    <x v="1"/>
    <x v="1"/>
  </r>
  <r>
    <x v="89"/>
    <s v="Joseph Miller"/>
    <x v="4"/>
    <n v="5"/>
    <n v="389"/>
    <n v="1945"/>
    <x v="1"/>
    <x v="0"/>
    <x v="1"/>
    <x v="1"/>
  </r>
  <r>
    <x v="89"/>
    <s v="Timothy Estrada"/>
    <x v="5"/>
    <n v="4"/>
    <n v="704"/>
    <n v="2816"/>
    <x v="2"/>
    <x v="0"/>
    <x v="1"/>
    <x v="1"/>
  </r>
  <r>
    <x v="89"/>
    <s v="Lisa Richardson"/>
    <x v="7"/>
    <n v="5"/>
    <n v="954"/>
    <n v="4770"/>
    <x v="4"/>
    <x v="0"/>
    <x v="1"/>
    <x v="1"/>
  </r>
  <r>
    <x v="90"/>
    <s v="Kelly Lee"/>
    <x v="7"/>
    <n v="3"/>
    <n v="361"/>
    <n v="1083"/>
    <x v="5"/>
    <x v="0"/>
    <x v="1"/>
    <x v="6"/>
  </r>
  <r>
    <x v="90"/>
    <s v="Bryce Roberts"/>
    <x v="2"/>
    <n v="3"/>
    <n v="780"/>
    <n v="2340"/>
    <x v="2"/>
    <x v="0"/>
    <x v="1"/>
    <x v="6"/>
  </r>
  <r>
    <x v="304"/>
    <s v="William Ochoa"/>
    <x v="5"/>
    <n v="3"/>
    <n v="859"/>
    <n v="2577"/>
    <x v="3"/>
    <x v="0"/>
    <x v="1"/>
    <x v="3"/>
  </r>
  <r>
    <x v="92"/>
    <s v="Jennifer Evans"/>
    <x v="7"/>
    <n v="1"/>
    <n v="113"/>
    <n v="113"/>
    <x v="0"/>
    <x v="0"/>
    <x v="1"/>
    <x v="5"/>
  </r>
  <r>
    <x v="93"/>
    <s v="James Black"/>
    <x v="5"/>
    <n v="1"/>
    <n v="207"/>
    <n v="207"/>
    <x v="2"/>
    <x v="0"/>
    <x v="1"/>
    <x v="0"/>
  </r>
  <r>
    <x v="93"/>
    <s v="Eugene Murphy"/>
    <x v="6"/>
    <n v="1"/>
    <n v="436"/>
    <n v="436"/>
    <x v="2"/>
    <x v="0"/>
    <x v="1"/>
    <x v="0"/>
  </r>
  <r>
    <x v="93"/>
    <s v="Troy Knight"/>
    <x v="3"/>
    <n v="6"/>
    <n v="174"/>
    <n v="1044"/>
    <x v="3"/>
    <x v="0"/>
    <x v="1"/>
    <x v="0"/>
  </r>
  <r>
    <x v="93"/>
    <s v="Megan Anderson"/>
    <x v="1"/>
    <n v="5"/>
    <n v="946"/>
    <n v="4730"/>
    <x v="4"/>
    <x v="0"/>
    <x v="1"/>
    <x v="0"/>
  </r>
  <r>
    <x v="94"/>
    <s v="Kimberly Francis"/>
    <x v="8"/>
    <n v="3"/>
    <n v="843"/>
    <n v="2529"/>
    <x v="5"/>
    <x v="0"/>
    <x v="1"/>
    <x v="2"/>
  </r>
  <r>
    <x v="95"/>
    <s v="Bonnie Mckenzie"/>
    <x v="4"/>
    <n v="2"/>
    <n v="588"/>
    <n v="1176"/>
    <x v="3"/>
    <x v="0"/>
    <x v="1"/>
    <x v="1"/>
  </r>
  <r>
    <x v="96"/>
    <s v="Sharon Davis"/>
    <x v="4"/>
    <n v="3"/>
    <n v="190"/>
    <n v="570"/>
    <x v="4"/>
    <x v="0"/>
    <x v="1"/>
    <x v="6"/>
  </r>
  <r>
    <x v="96"/>
    <s v="Jose Reyes"/>
    <x v="8"/>
    <n v="4"/>
    <n v="588"/>
    <n v="2352"/>
    <x v="3"/>
    <x v="0"/>
    <x v="1"/>
    <x v="6"/>
  </r>
  <r>
    <x v="97"/>
    <s v="Laura May"/>
    <x v="4"/>
    <n v="1"/>
    <n v="824"/>
    <n v="824"/>
    <x v="5"/>
    <x v="0"/>
    <x v="1"/>
    <x v="3"/>
  </r>
  <r>
    <x v="97"/>
    <s v="Nicolas Owens"/>
    <x v="9"/>
    <n v="5"/>
    <n v="647"/>
    <n v="3235"/>
    <x v="1"/>
    <x v="0"/>
    <x v="1"/>
    <x v="3"/>
  </r>
  <r>
    <x v="97"/>
    <s v="Jose Warren"/>
    <x v="7"/>
    <n v="6"/>
    <n v="716"/>
    <n v="4296"/>
    <x v="0"/>
    <x v="0"/>
    <x v="1"/>
    <x v="3"/>
  </r>
  <r>
    <x v="98"/>
    <s v="Lisa Brennan"/>
    <x v="3"/>
    <n v="6"/>
    <n v="641"/>
    <n v="3846"/>
    <x v="0"/>
    <x v="0"/>
    <x v="1"/>
    <x v="4"/>
  </r>
  <r>
    <x v="99"/>
    <s v="Karen Yang"/>
    <x v="2"/>
    <n v="3"/>
    <n v="77"/>
    <n v="231"/>
    <x v="2"/>
    <x v="0"/>
    <x v="1"/>
    <x v="5"/>
  </r>
  <r>
    <x v="99"/>
    <s v="Charles Thompson"/>
    <x v="1"/>
    <n v="3"/>
    <n v="619"/>
    <n v="1857"/>
    <x v="0"/>
    <x v="0"/>
    <x v="1"/>
    <x v="5"/>
  </r>
  <r>
    <x v="101"/>
    <s v="Kenneth Mccullough"/>
    <x v="8"/>
    <n v="3"/>
    <n v="89"/>
    <n v="267"/>
    <x v="5"/>
    <x v="0"/>
    <x v="1"/>
    <x v="2"/>
  </r>
  <r>
    <x v="101"/>
    <s v="Kelli Garcia"/>
    <x v="9"/>
    <n v="4"/>
    <n v="175"/>
    <n v="700"/>
    <x v="2"/>
    <x v="0"/>
    <x v="1"/>
    <x v="2"/>
  </r>
  <r>
    <x v="101"/>
    <s v="Danielle Gibson"/>
    <x v="7"/>
    <n v="2"/>
    <n v="878"/>
    <n v="1756"/>
    <x v="4"/>
    <x v="0"/>
    <x v="1"/>
    <x v="2"/>
  </r>
  <r>
    <x v="102"/>
    <s v="Christopher Garrison"/>
    <x v="7"/>
    <n v="6"/>
    <n v="344"/>
    <n v="2064"/>
    <x v="1"/>
    <x v="0"/>
    <x v="1"/>
    <x v="1"/>
  </r>
  <r>
    <x v="305"/>
    <s v="Victoria Tran"/>
    <x v="6"/>
    <n v="4"/>
    <n v="241"/>
    <n v="964"/>
    <x v="2"/>
    <x v="0"/>
    <x v="1"/>
    <x v="6"/>
  </r>
  <r>
    <x v="103"/>
    <s v="Casey Montgomery"/>
    <x v="8"/>
    <n v="3"/>
    <n v="608"/>
    <n v="1824"/>
    <x v="0"/>
    <x v="0"/>
    <x v="1"/>
    <x v="3"/>
  </r>
  <r>
    <x v="104"/>
    <s v="James Erickson"/>
    <x v="2"/>
    <n v="2"/>
    <n v="771"/>
    <n v="1542"/>
    <x v="4"/>
    <x v="0"/>
    <x v="1"/>
    <x v="4"/>
  </r>
  <r>
    <x v="104"/>
    <s v="Julie Reed"/>
    <x v="9"/>
    <n v="4"/>
    <n v="760"/>
    <n v="3040"/>
    <x v="4"/>
    <x v="0"/>
    <x v="1"/>
    <x v="4"/>
  </r>
  <r>
    <x v="105"/>
    <s v="Jessica Johnson"/>
    <x v="2"/>
    <n v="6"/>
    <n v="76"/>
    <n v="456"/>
    <x v="3"/>
    <x v="0"/>
    <x v="2"/>
    <x v="2"/>
  </r>
  <r>
    <x v="105"/>
    <s v="Stephen Berger"/>
    <x v="8"/>
    <n v="3"/>
    <n v="475"/>
    <n v="1425"/>
    <x v="4"/>
    <x v="0"/>
    <x v="2"/>
    <x v="2"/>
  </r>
  <r>
    <x v="106"/>
    <s v="William Smith"/>
    <x v="1"/>
    <n v="1"/>
    <n v="261"/>
    <n v="261"/>
    <x v="5"/>
    <x v="0"/>
    <x v="2"/>
    <x v="6"/>
  </r>
  <r>
    <x v="107"/>
    <s v="Jessica Day"/>
    <x v="5"/>
    <n v="1"/>
    <n v="647"/>
    <n v="647"/>
    <x v="4"/>
    <x v="0"/>
    <x v="2"/>
    <x v="3"/>
  </r>
  <r>
    <x v="108"/>
    <s v="Morgan Willis"/>
    <x v="1"/>
    <n v="1"/>
    <n v="388"/>
    <n v="388"/>
    <x v="0"/>
    <x v="0"/>
    <x v="2"/>
    <x v="4"/>
  </r>
  <r>
    <x v="108"/>
    <s v="Heidi Jones"/>
    <x v="8"/>
    <n v="1"/>
    <n v="514"/>
    <n v="514"/>
    <x v="4"/>
    <x v="0"/>
    <x v="2"/>
    <x v="4"/>
  </r>
  <r>
    <x v="108"/>
    <s v="Erik Mcgee"/>
    <x v="5"/>
    <n v="4"/>
    <n v="445"/>
    <n v="1780"/>
    <x v="0"/>
    <x v="0"/>
    <x v="2"/>
    <x v="4"/>
  </r>
  <r>
    <x v="109"/>
    <s v="Lindsey Rose"/>
    <x v="4"/>
    <n v="4"/>
    <n v="125"/>
    <n v="500"/>
    <x v="5"/>
    <x v="0"/>
    <x v="2"/>
    <x v="5"/>
  </r>
  <r>
    <x v="109"/>
    <s v="Kelly Spears"/>
    <x v="9"/>
    <n v="2"/>
    <n v="510"/>
    <n v="1020"/>
    <x v="2"/>
    <x v="0"/>
    <x v="2"/>
    <x v="5"/>
  </r>
  <r>
    <x v="109"/>
    <s v="Jacob Flores"/>
    <x v="5"/>
    <n v="4"/>
    <n v="571"/>
    <n v="2284"/>
    <x v="3"/>
    <x v="0"/>
    <x v="2"/>
    <x v="5"/>
  </r>
  <r>
    <x v="110"/>
    <s v="Brianna Williams"/>
    <x v="1"/>
    <n v="2"/>
    <n v="564"/>
    <n v="1128"/>
    <x v="0"/>
    <x v="0"/>
    <x v="2"/>
    <x v="0"/>
  </r>
  <r>
    <x v="110"/>
    <s v="Jacob Rice"/>
    <x v="8"/>
    <n v="5"/>
    <n v="913"/>
    <n v="4565"/>
    <x v="2"/>
    <x v="0"/>
    <x v="2"/>
    <x v="0"/>
  </r>
  <r>
    <x v="110"/>
    <s v="Gregory Sloan"/>
    <x v="1"/>
    <n v="6"/>
    <n v="995"/>
    <n v="5970"/>
    <x v="5"/>
    <x v="0"/>
    <x v="2"/>
    <x v="0"/>
  </r>
  <r>
    <x v="33"/>
    <s v="Laura Morales"/>
    <x v="8"/>
    <n v="1"/>
    <n v="978"/>
    <n v="978"/>
    <x v="4"/>
    <x v="0"/>
    <x v="2"/>
    <x v="2"/>
  </r>
  <r>
    <x v="33"/>
    <s v="Ian Webb"/>
    <x v="0"/>
    <n v="4"/>
    <n v="839"/>
    <n v="3356"/>
    <x v="5"/>
    <x v="0"/>
    <x v="2"/>
    <x v="2"/>
  </r>
  <r>
    <x v="112"/>
    <s v="Dr. Darren Taylor"/>
    <x v="7"/>
    <n v="1"/>
    <n v="385"/>
    <n v="385"/>
    <x v="0"/>
    <x v="0"/>
    <x v="2"/>
    <x v="6"/>
  </r>
  <r>
    <x v="112"/>
    <s v="Mark Schultz"/>
    <x v="4"/>
    <n v="2"/>
    <n v="559"/>
    <n v="1118"/>
    <x v="2"/>
    <x v="0"/>
    <x v="2"/>
    <x v="6"/>
  </r>
  <r>
    <x v="20"/>
    <s v="Devin Finley"/>
    <x v="2"/>
    <n v="4"/>
    <n v="873"/>
    <n v="3492"/>
    <x v="5"/>
    <x v="0"/>
    <x v="2"/>
    <x v="4"/>
  </r>
  <r>
    <x v="2"/>
    <s v="Ryan Morrow"/>
    <x v="8"/>
    <n v="1"/>
    <n v="745"/>
    <n v="745"/>
    <x v="2"/>
    <x v="0"/>
    <x v="2"/>
    <x v="1"/>
  </r>
  <r>
    <x v="2"/>
    <s v="Daniel Carr"/>
    <x v="9"/>
    <n v="5"/>
    <n v="404"/>
    <n v="2020"/>
    <x v="0"/>
    <x v="0"/>
    <x v="2"/>
    <x v="1"/>
  </r>
  <r>
    <x v="293"/>
    <s v="Candace Hunter"/>
    <x v="0"/>
    <n v="3"/>
    <n v="738"/>
    <n v="2214"/>
    <x v="0"/>
    <x v="0"/>
    <x v="2"/>
    <x v="6"/>
  </r>
  <r>
    <x v="114"/>
    <s v="Joshua Johnson"/>
    <x v="6"/>
    <n v="6"/>
    <n v="837"/>
    <n v="5022"/>
    <x v="2"/>
    <x v="0"/>
    <x v="2"/>
    <x v="3"/>
  </r>
  <r>
    <x v="116"/>
    <s v="Angela Baxter"/>
    <x v="8"/>
    <n v="5"/>
    <n v="1000"/>
    <n v="5000"/>
    <x v="1"/>
    <x v="0"/>
    <x v="2"/>
    <x v="0"/>
  </r>
  <r>
    <x v="117"/>
    <s v="Bradley Stone"/>
    <x v="4"/>
    <n v="2"/>
    <n v="213"/>
    <n v="426"/>
    <x v="4"/>
    <x v="0"/>
    <x v="2"/>
    <x v="2"/>
  </r>
  <r>
    <x v="117"/>
    <s v="David Sandoval"/>
    <x v="0"/>
    <n v="1"/>
    <n v="586"/>
    <n v="586"/>
    <x v="3"/>
    <x v="0"/>
    <x v="2"/>
    <x v="2"/>
  </r>
  <r>
    <x v="117"/>
    <s v="Kelly Freeman"/>
    <x v="5"/>
    <n v="6"/>
    <n v="637"/>
    <n v="3822"/>
    <x v="1"/>
    <x v="0"/>
    <x v="2"/>
    <x v="2"/>
  </r>
  <r>
    <x v="118"/>
    <s v="Gary Oliver"/>
    <x v="2"/>
    <n v="3"/>
    <n v="703"/>
    <n v="2109"/>
    <x v="2"/>
    <x v="0"/>
    <x v="2"/>
    <x v="1"/>
  </r>
  <r>
    <x v="119"/>
    <s v="Matthew Harper"/>
    <x v="7"/>
    <n v="1"/>
    <n v="355"/>
    <n v="355"/>
    <x v="4"/>
    <x v="0"/>
    <x v="2"/>
    <x v="6"/>
  </r>
  <r>
    <x v="119"/>
    <s v="Becky Higgins"/>
    <x v="6"/>
    <n v="5"/>
    <n v="316"/>
    <n v="1580"/>
    <x v="4"/>
    <x v="0"/>
    <x v="2"/>
    <x v="6"/>
  </r>
  <r>
    <x v="5"/>
    <s v="Dr. Denise Pratt"/>
    <x v="0"/>
    <n v="4"/>
    <n v="567"/>
    <n v="2268"/>
    <x v="5"/>
    <x v="0"/>
    <x v="2"/>
    <x v="3"/>
  </r>
  <r>
    <x v="34"/>
    <s v="Michael Brock"/>
    <x v="2"/>
    <n v="3"/>
    <n v="787"/>
    <n v="2361"/>
    <x v="5"/>
    <x v="0"/>
    <x v="2"/>
    <x v="0"/>
  </r>
  <r>
    <x v="121"/>
    <s v="Autumn Wilcox DDS"/>
    <x v="0"/>
    <n v="1"/>
    <n v="555"/>
    <n v="555"/>
    <x v="0"/>
    <x v="0"/>
    <x v="9"/>
    <x v="1"/>
  </r>
  <r>
    <x v="121"/>
    <s v="Chad Sandoval"/>
    <x v="8"/>
    <n v="5"/>
    <n v="502"/>
    <n v="2510"/>
    <x v="3"/>
    <x v="0"/>
    <x v="9"/>
    <x v="1"/>
  </r>
  <r>
    <x v="121"/>
    <s v="Gary Mullins"/>
    <x v="1"/>
    <n v="4"/>
    <n v="960"/>
    <n v="3840"/>
    <x v="1"/>
    <x v="0"/>
    <x v="9"/>
    <x v="1"/>
  </r>
  <r>
    <x v="122"/>
    <s v="Stephanie Knight"/>
    <x v="9"/>
    <n v="6"/>
    <n v="507"/>
    <n v="3042"/>
    <x v="0"/>
    <x v="0"/>
    <x v="9"/>
    <x v="6"/>
  </r>
  <r>
    <x v="123"/>
    <s v="Kaitlyn Fuller"/>
    <x v="9"/>
    <n v="1"/>
    <n v="580"/>
    <n v="580"/>
    <x v="4"/>
    <x v="0"/>
    <x v="9"/>
    <x v="3"/>
  </r>
  <r>
    <x v="123"/>
    <s v="April Reed"/>
    <x v="8"/>
    <n v="2"/>
    <n v="830"/>
    <n v="1660"/>
    <x v="4"/>
    <x v="0"/>
    <x v="9"/>
    <x v="3"/>
  </r>
  <r>
    <x v="124"/>
    <s v="John Stewart"/>
    <x v="5"/>
    <n v="2"/>
    <n v="363"/>
    <n v="726"/>
    <x v="0"/>
    <x v="0"/>
    <x v="9"/>
    <x v="4"/>
  </r>
  <r>
    <x v="124"/>
    <s v="Briana Morris"/>
    <x v="3"/>
    <n v="4"/>
    <n v="688"/>
    <n v="2752"/>
    <x v="4"/>
    <x v="0"/>
    <x v="9"/>
    <x v="4"/>
  </r>
  <r>
    <x v="124"/>
    <s v="James Hart"/>
    <x v="9"/>
    <n v="6"/>
    <n v="901"/>
    <n v="5406"/>
    <x v="4"/>
    <x v="0"/>
    <x v="9"/>
    <x v="4"/>
  </r>
  <r>
    <x v="125"/>
    <s v="Ashley Blair"/>
    <x v="7"/>
    <n v="2"/>
    <n v="718"/>
    <n v="1436"/>
    <x v="4"/>
    <x v="0"/>
    <x v="9"/>
    <x v="5"/>
  </r>
  <r>
    <x v="306"/>
    <s v="Ashley Campbell"/>
    <x v="5"/>
    <n v="6"/>
    <n v="88"/>
    <n v="528"/>
    <x v="5"/>
    <x v="0"/>
    <x v="9"/>
    <x v="2"/>
  </r>
  <r>
    <x v="126"/>
    <s v="Alexandra Brown"/>
    <x v="5"/>
    <n v="1"/>
    <n v="767"/>
    <n v="767"/>
    <x v="5"/>
    <x v="0"/>
    <x v="9"/>
    <x v="1"/>
  </r>
  <r>
    <x v="126"/>
    <s v="Alyssa Riley"/>
    <x v="3"/>
    <n v="2"/>
    <n v="944"/>
    <n v="1888"/>
    <x v="1"/>
    <x v="0"/>
    <x v="9"/>
    <x v="1"/>
  </r>
  <r>
    <x v="126"/>
    <s v="Norma Bernard"/>
    <x v="1"/>
    <n v="6"/>
    <n v="385"/>
    <n v="2310"/>
    <x v="4"/>
    <x v="0"/>
    <x v="9"/>
    <x v="1"/>
  </r>
  <r>
    <x v="35"/>
    <s v="Daniel Smith"/>
    <x v="5"/>
    <n v="1"/>
    <n v="125"/>
    <n v="125"/>
    <x v="2"/>
    <x v="0"/>
    <x v="9"/>
    <x v="4"/>
  </r>
  <r>
    <x v="128"/>
    <s v="Julie Williams"/>
    <x v="9"/>
    <n v="1"/>
    <n v="452"/>
    <n v="452"/>
    <x v="0"/>
    <x v="0"/>
    <x v="9"/>
    <x v="5"/>
  </r>
  <r>
    <x v="128"/>
    <s v="Sarah Rodriguez"/>
    <x v="3"/>
    <n v="2"/>
    <n v="637"/>
    <n v="1274"/>
    <x v="1"/>
    <x v="0"/>
    <x v="9"/>
    <x v="5"/>
  </r>
  <r>
    <x v="128"/>
    <s v="Kristin Hardy"/>
    <x v="5"/>
    <n v="3"/>
    <n v="926"/>
    <n v="2778"/>
    <x v="1"/>
    <x v="0"/>
    <x v="9"/>
    <x v="5"/>
  </r>
  <r>
    <x v="128"/>
    <s v="Taylor Marshall DDS"/>
    <x v="5"/>
    <n v="5"/>
    <n v="742"/>
    <n v="3710"/>
    <x v="3"/>
    <x v="0"/>
    <x v="9"/>
    <x v="5"/>
  </r>
  <r>
    <x v="129"/>
    <s v="Kenneth Burns"/>
    <x v="4"/>
    <n v="2"/>
    <n v="288"/>
    <n v="576"/>
    <x v="4"/>
    <x v="0"/>
    <x v="9"/>
    <x v="0"/>
  </r>
  <r>
    <x v="130"/>
    <s v="Christopher Klein"/>
    <x v="1"/>
    <n v="4"/>
    <n v="131"/>
    <n v="524"/>
    <x v="0"/>
    <x v="0"/>
    <x v="9"/>
    <x v="2"/>
  </r>
  <r>
    <x v="130"/>
    <s v="Kelly Gibbs"/>
    <x v="3"/>
    <n v="5"/>
    <n v="335"/>
    <n v="1675"/>
    <x v="3"/>
    <x v="0"/>
    <x v="9"/>
    <x v="2"/>
  </r>
  <r>
    <x v="130"/>
    <s v="Christopher Holmes"/>
    <x v="8"/>
    <n v="6"/>
    <n v="988"/>
    <n v="5928"/>
    <x v="0"/>
    <x v="0"/>
    <x v="9"/>
    <x v="2"/>
  </r>
  <r>
    <x v="132"/>
    <s v="Mary Ramirez"/>
    <x v="1"/>
    <n v="4"/>
    <n v="298"/>
    <n v="1192"/>
    <x v="0"/>
    <x v="0"/>
    <x v="9"/>
    <x v="6"/>
  </r>
  <r>
    <x v="133"/>
    <s v="Stephen Levy"/>
    <x v="1"/>
    <n v="1"/>
    <n v="637"/>
    <n v="637"/>
    <x v="3"/>
    <x v="0"/>
    <x v="9"/>
    <x v="3"/>
  </r>
  <r>
    <x v="134"/>
    <s v="Paige Shelton"/>
    <x v="8"/>
    <n v="5"/>
    <n v="125"/>
    <n v="625"/>
    <x v="4"/>
    <x v="0"/>
    <x v="9"/>
    <x v="4"/>
  </r>
  <r>
    <x v="134"/>
    <s v="Elizabeth Dominguez"/>
    <x v="2"/>
    <n v="6"/>
    <n v="835"/>
    <n v="5010"/>
    <x v="2"/>
    <x v="0"/>
    <x v="9"/>
    <x v="4"/>
  </r>
  <r>
    <x v="135"/>
    <s v="Sheila Daniels"/>
    <x v="2"/>
    <n v="1"/>
    <n v="412"/>
    <n v="412"/>
    <x v="1"/>
    <x v="0"/>
    <x v="9"/>
    <x v="5"/>
  </r>
  <r>
    <x v="135"/>
    <s v="Daniel Hall"/>
    <x v="8"/>
    <n v="6"/>
    <n v="381"/>
    <n v="2286"/>
    <x v="0"/>
    <x v="0"/>
    <x v="9"/>
    <x v="5"/>
  </r>
  <r>
    <x v="136"/>
    <s v="Julie Eaton"/>
    <x v="0"/>
    <n v="1"/>
    <n v="788"/>
    <n v="788"/>
    <x v="3"/>
    <x v="0"/>
    <x v="9"/>
    <x v="0"/>
  </r>
  <r>
    <x v="136"/>
    <s v="Mrs. Holly Maldonado"/>
    <x v="0"/>
    <n v="3"/>
    <n v="642"/>
    <n v="1926"/>
    <x v="1"/>
    <x v="0"/>
    <x v="9"/>
    <x v="0"/>
  </r>
  <r>
    <x v="137"/>
    <s v="Kevin Rogers"/>
    <x v="6"/>
    <n v="6"/>
    <n v="407"/>
    <n v="2442"/>
    <x v="2"/>
    <x v="0"/>
    <x v="9"/>
    <x v="1"/>
  </r>
  <r>
    <x v="137"/>
    <s v="George Nichols"/>
    <x v="0"/>
    <n v="5"/>
    <n v="781"/>
    <n v="3905"/>
    <x v="5"/>
    <x v="0"/>
    <x v="9"/>
    <x v="1"/>
  </r>
  <r>
    <x v="138"/>
    <s v="Barry Flores"/>
    <x v="5"/>
    <n v="2"/>
    <n v="533"/>
    <n v="1066"/>
    <x v="5"/>
    <x v="0"/>
    <x v="9"/>
    <x v="6"/>
  </r>
  <r>
    <x v="138"/>
    <s v="Kaitlyn Freeman"/>
    <x v="2"/>
    <n v="5"/>
    <n v="739"/>
    <n v="3695"/>
    <x v="1"/>
    <x v="0"/>
    <x v="9"/>
    <x v="6"/>
  </r>
  <r>
    <x v="138"/>
    <s v="Jay Jones MD"/>
    <x v="8"/>
    <n v="5"/>
    <n v="861"/>
    <n v="4305"/>
    <x v="4"/>
    <x v="0"/>
    <x v="9"/>
    <x v="6"/>
  </r>
  <r>
    <x v="139"/>
    <s v="Richard Bruce"/>
    <x v="3"/>
    <n v="2"/>
    <n v="133"/>
    <n v="266"/>
    <x v="3"/>
    <x v="0"/>
    <x v="9"/>
    <x v="3"/>
  </r>
  <r>
    <x v="140"/>
    <s v="Melvin Foster"/>
    <x v="9"/>
    <n v="6"/>
    <n v="674"/>
    <n v="4044"/>
    <x v="3"/>
    <x v="0"/>
    <x v="9"/>
    <x v="4"/>
  </r>
  <r>
    <x v="36"/>
    <s v="Laurie Reed"/>
    <x v="6"/>
    <n v="3"/>
    <n v="126"/>
    <n v="378"/>
    <x v="1"/>
    <x v="0"/>
    <x v="9"/>
    <x v="0"/>
  </r>
  <r>
    <x v="36"/>
    <s v="Thomas Cole"/>
    <x v="4"/>
    <n v="4"/>
    <n v="253"/>
    <n v="1012"/>
    <x v="2"/>
    <x v="0"/>
    <x v="9"/>
    <x v="0"/>
  </r>
  <r>
    <x v="142"/>
    <s v="Dr. Nichole Herrera"/>
    <x v="2"/>
    <n v="2"/>
    <n v="694"/>
    <n v="1388"/>
    <x v="1"/>
    <x v="0"/>
    <x v="9"/>
    <x v="2"/>
  </r>
  <r>
    <x v="143"/>
    <s v="Christopher Wagner"/>
    <x v="1"/>
    <n v="1"/>
    <n v="970"/>
    <n v="970"/>
    <x v="3"/>
    <x v="0"/>
    <x v="9"/>
    <x v="1"/>
  </r>
  <r>
    <x v="143"/>
    <s v="Laura Lee"/>
    <x v="4"/>
    <n v="5"/>
    <n v="912"/>
    <n v="4560"/>
    <x v="1"/>
    <x v="0"/>
    <x v="9"/>
    <x v="1"/>
  </r>
  <r>
    <x v="144"/>
    <s v="Phillip White"/>
    <x v="5"/>
    <n v="2"/>
    <n v="821"/>
    <n v="1642"/>
    <x v="0"/>
    <x v="0"/>
    <x v="9"/>
    <x v="3"/>
  </r>
  <r>
    <x v="145"/>
    <s v="Noah Jones"/>
    <x v="3"/>
    <n v="1"/>
    <n v="938"/>
    <n v="938"/>
    <x v="1"/>
    <x v="0"/>
    <x v="10"/>
    <x v="4"/>
  </r>
  <r>
    <x v="145"/>
    <s v="John Yu"/>
    <x v="8"/>
    <n v="4"/>
    <n v="409"/>
    <n v="1636"/>
    <x v="5"/>
    <x v="0"/>
    <x v="10"/>
    <x v="4"/>
  </r>
  <r>
    <x v="307"/>
    <s v="Tina Miller DDS"/>
    <x v="7"/>
    <n v="4"/>
    <n v="402"/>
    <n v="1608"/>
    <x v="1"/>
    <x v="0"/>
    <x v="10"/>
    <x v="5"/>
  </r>
  <r>
    <x v="146"/>
    <s v="Shelby Carter"/>
    <x v="4"/>
    <n v="4"/>
    <n v="292"/>
    <n v="1168"/>
    <x v="5"/>
    <x v="0"/>
    <x v="10"/>
    <x v="0"/>
  </r>
  <r>
    <x v="146"/>
    <s v="Michael Shelton"/>
    <x v="4"/>
    <n v="4"/>
    <n v="738"/>
    <n v="2952"/>
    <x v="2"/>
    <x v="0"/>
    <x v="10"/>
    <x v="0"/>
  </r>
  <r>
    <x v="147"/>
    <s v="Bailey Hobbs"/>
    <x v="1"/>
    <n v="5"/>
    <n v="298"/>
    <n v="1490"/>
    <x v="2"/>
    <x v="0"/>
    <x v="10"/>
    <x v="2"/>
  </r>
  <r>
    <x v="147"/>
    <s v="Michael Bryan"/>
    <x v="5"/>
    <n v="2"/>
    <n v="970"/>
    <n v="1940"/>
    <x v="5"/>
    <x v="0"/>
    <x v="10"/>
    <x v="2"/>
  </r>
  <r>
    <x v="148"/>
    <s v="Jamie Orozco"/>
    <x v="5"/>
    <n v="6"/>
    <n v="702"/>
    <n v="4212"/>
    <x v="5"/>
    <x v="0"/>
    <x v="10"/>
    <x v="1"/>
  </r>
  <r>
    <x v="308"/>
    <s v="Kimberly Edwards"/>
    <x v="8"/>
    <n v="1"/>
    <n v="577"/>
    <n v="577"/>
    <x v="2"/>
    <x v="0"/>
    <x v="10"/>
    <x v="5"/>
  </r>
  <r>
    <x v="151"/>
    <s v="Emily Butler"/>
    <x v="7"/>
    <n v="1"/>
    <n v="207"/>
    <n v="207"/>
    <x v="0"/>
    <x v="0"/>
    <x v="10"/>
    <x v="2"/>
  </r>
  <r>
    <x v="151"/>
    <s v="Carmen Sims"/>
    <x v="1"/>
    <n v="1"/>
    <n v="569"/>
    <n v="569"/>
    <x v="5"/>
    <x v="0"/>
    <x v="10"/>
    <x v="2"/>
  </r>
  <r>
    <x v="151"/>
    <s v="Andrew Watson"/>
    <x v="5"/>
    <n v="2"/>
    <n v="656"/>
    <n v="1312"/>
    <x v="3"/>
    <x v="0"/>
    <x v="10"/>
    <x v="2"/>
  </r>
  <r>
    <x v="151"/>
    <s v="Dominic Burns"/>
    <x v="6"/>
    <n v="6"/>
    <n v="644"/>
    <n v="3864"/>
    <x v="4"/>
    <x v="0"/>
    <x v="10"/>
    <x v="2"/>
  </r>
  <r>
    <x v="152"/>
    <s v="Connie Williams"/>
    <x v="1"/>
    <n v="5"/>
    <n v="270"/>
    <n v="1350"/>
    <x v="5"/>
    <x v="0"/>
    <x v="10"/>
    <x v="1"/>
  </r>
  <r>
    <x v="152"/>
    <s v="John Wheeler"/>
    <x v="1"/>
    <n v="4"/>
    <n v="700"/>
    <n v="2800"/>
    <x v="0"/>
    <x v="0"/>
    <x v="10"/>
    <x v="1"/>
  </r>
  <r>
    <x v="153"/>
    <s v="Spencer Combs"/>
    <x v="6"/>
    <n v="1"/>
    <n v="559"/>
    <n v="559"/>
    <x v="1"/>
    <x v="0"/>
    <x v="10"/>
    <x v="6"/>
  </r>
  <r>
    <x v="153"/>
    <s v="Martha Schwartz"/>
    <x v="1"/>
    <n v="2"/>
    <n v="747"/>
    <n v="1494"/>
    <x v="2"/>
    <x v="0"/>
    <x v="10"/>
    <x v="6"/>
  </r>
  <r>
    <x v="154"/>
    <s v="Gabriel Carroll"/>
    <x v="5"/>
    <n v="6"/>
    <n v="289"/>
    <n v="1734"/>
    <x v="2"/>
    <x v="0"/>
    <x v="10"/>
    <x v="3"/>
  </r>
  <r>
    <x v="154"/>
    <s v="Regina Wiggins"/>
    <x v="7"/>
    <n v="4"/>
    <n v="679"/>
    <n v="2716"/>
    <x v="4"/>
    <x v="0"/>
    <x v="10"/>
    <x v="3"/>
  </r>
  <r>
    <x v="22"/>
    <s v="Andrew Flores"/>
    <x v="0"/>
    <n v="2"/>
    <n v="243"/>
    <n v="486"/>
    <x v="4"/>
    <x v="0"/>
    <x v="10"/>
    <x v="4"/>
  </r>
  <r>
    <x v="155"/>
    <s v="Dustin Henderson"/>
    <x v="3"/>
    <n v="2"/>
    <n v="885"/>
    <n v="1770"/>
    <x v="4"/>
    <x v="0"/>
    <x v="10"/>
    <x v="5"/>
  </r>
  <r>
    <x v="155"/>
    <s v="Joshua Rios"/>
    <x v="4"/>
    <n v="3"/>
    <n v="943"/>
    <n v="2829"/>
    <x v="2"/>
    <x v="0"/>
    <x v="10"/>
    <x v="5"/>
  </r>
  <r>
    <x v="156"/>
    <s v="Daniel Norton"/>
    <x v="4"/>
    <n v="3"/>
    <n v="203"/>
    <n v="609"/>
    <x v="2"/>
    <x v="0"/>
    <x v="10"/>
    <x v="0"/>
  </r>
  <r>
    <x v="157"/>
    <s v="Tyler Morrison"/>
    <x v="9"/>
    <n v="1"/>
    <n v="504"/>
    <n v="504"/>
    <x v="0"/>
    <x v="0"/>
    <x v="10"/>
    <x v="2"/>
  </r>
  <r>
    <x v="157"/>
    <s v="Eric Morgan"/>
    <x v="8"/>
    <n v="2"/>
    <n v="660"/>
    <n v="1320"/>
    <x v="0"/>
    <x v="0"/>
    <x v="10"/>
    <x v="2"/>
  </r>
  <r>
    <x v="157"/>
    <s v="William Odom"/>
    <x v="7"/>
    <n v="4"/>
    <n v="580"/>
    <n v="2320"/>
    <x v="3"/>
    <x v="0"/>
    <x v="10"/>
    <x v="2"/>
  </r>
  <r>
    <x v="158"/>
    <s v="Eric Acosta"/>
    <x v="5"/>
    <n v="1"/>
    <n v="876"/>
    <n v="876"/>
    <x v="0"/>
    <x v="0"/>
    <x v="10"/>
    <x v="1"/>
  </r>
  <r>
    <x v="158"/>
    <s v="Timothy Jones"/>
    <x v="5"/>
    <n v="2"/>
    <n v="666"/>
    <n v="1332"/>
    <x v="5"/>
    <x v="0"/>
    <x v="10"/>
    <x v="1"/>
  </r>
  <r>
    <x v="159"/>
    <s v="Sara Brown"/>
    <x v="3"/>
    <n v="3"/>
    <n v="872"/>
    <n v="2616"/>
    <x v="2"/>
    <x v="0"/>
    <x v="10"/>
    <x v="6"/>
  </r>
  <r>
    <x v="37"/>
    <s v="Justin Smith"/>
    <x v="4"/>
    <n v="6"/>
    <n v="639"/>
    <n v="3834"/>
    <x v="4"/>
    <x v="0"/>
    <x v="10"/>
    <x v="3"/>
  </r>
  <r>
    <x v="160"/>
    <s v="Yolanda Hernandez"/>
    <x v="7"/>
    <n v="5"/>
    <n v="898"/>
    <n v="4490"/>
    <x v="1"/>
    <x v="0"/>
    <x v="10"/>
    <x v="4"/>
  </r>
  <r>
    <x v="161"/>
    <s v="Chad Tucker Jr."/>
    <x v="1"/>
    <n v="3"/>
    <n v="808"/>
    <n v="2424"/>
    <x v="5"/>
    <x v="0"/>
    <x v="10"/>
    <x v="5"/>
  </r>
  <r>
    <x v="162"/>
    <s v="Ronnie Mcfarland"/>
    <x v="3"/>
    <n v="6"/>
    <n v="182"/>
    <n v="1092"/>
    <x v="3"/>
    <x v="0"/>
    <x v="10"/>
    <x v="0"/>
  </r>
  <r>
    <x v="162"/>
    <s v="Wayne Marshall"/>
    <x v="7"/>
    <n v="4"/>
    <n v="312"/>
    <n v="1248"/>
    <x v="5"/>
    <x v="0"/>
    <x v="10"/>
    <x v="0"/>
  </r>
  <r>
    <x v="163"/>
    <s v="Michael Morris"/>
    <x v="8"/>
    <n v="2"/>
    <n v="577"/>
    <n v="1154"/>
    <x v="1"/>
    <x v="0"/>
    <x v="10"/>
    <x v="2"/>
  </r>
  <r>
    <x v="163"/>
    <s v="Matthew Chen"/>
    <x v="5"/>
    <n v="4"/>
    <n v="581"/>
    <n v="2324"/>
    <x v="4"/>
    <x v="0"/>
    <x v="10"/>
    <x v="2"/>
  </r>
  <r>
    <x v="163"/>
    <s v="Jeffery Ortiz"/>
    <x v="6"/>
    <n v="5"/>
    <n v="996"/>
    <n v="4980"/>
    <x v="4"/>
    <x v="0"/>
    <x v="10"/>
    <x v="2"/>
  </r>
  <r>
    <x v="164"/>
    <s v="Mary Thomas"/>
    <x v="5"/>
    <n v="4"/>
    <n v="397"/>
    <n v="1588"/>
    <x v="3"/>
    <x v="0"/>
    <x v="10"/>
    <x v="1"/>
  </r>
  <r>
    <x v="165"/>
    <s v="George Wilson"/>
    <x v="5"/>
    <n v="3"/>
    <n v="847"/>
    <n v="2541"/>
    <x v="0"/>
    <x v="0"/>
    <x v="10"/>
    <x v="6"/>
  </r>
  <r>
    <x v="166"/>
    <s v="John Bryant"/>
    <x v="6"/>
    <n v="2"/>
    <n v="514"/>
    <n v="1028"/>
    <x v="5"/>
    <x v="0"/>
    <x v="10"/>
    <x v="3"/>
  </r>
  <r>
    <x v="166"/>
    <s v="Robert Pope"/>
    <x v="2"/>
    <n v="4"/>
    <n v="354"/>
    <n v="1416"/>
    <x v="4"/>
    <x v="0"/>
    <x v="10"/>
    <x v="3"/>
  </r>
  <r>
    <x v="166"/>
    <s v="Alec Olson Jr."/>
    <x v="7"/>
    <n v="6"/>
    <n v="888"/>
    <n v="5328"/>
    <x v="0"/>
    <x v="0"/>
    <x v="10"/>
    <x v="3"/>
  </r>
  <r>
    <x v="167"/>
    <s v="Christopher Clark"/>
    <x v="9"/>
    <n v="2"/>
    <n v="191"/>
    <n v="382"/>
    <x v="2"/>
    <x v="0"/>
    <x v="10"/>
    <x v="4"/>
  </r>
  <r>
    <x v="167"/>
    <s v="Robert Brown"/>
    <x v="2"/>
    <n v="4"/>
    <n v="551"/>
    <n v="2204"/>
    <x v="3"/>
    <x v="0"/>
    <x v="10"/>
    <x v="4"/>
  </r>
  <r>
    <x v="169"/>
    <s v="Andrew Phillips"/>
    <x v="0"/>
    <n v="2"/>
    <n v="165"/>
    <n v="330"/>
    <x v="1"/>
    <x v="0"/>
    <x v="4"/>
    <x v="2"/>
  </r>
  <r>
    <x v="170"/>
    <s v="Amy Carroll"/>
    <x v="0"/>
    <n v="2"/>
    <n v="285"/>
    <n v="570"/>
    <x v="2"/>
    <x v="0"/>
    <x v="4"/>
    <x v="1"/>
  </r>
  <r>
    <x v="170"/>
    <s v="Antonio Jones DDS"/>
    <x v="5"/>
    <n v="4"/>
    <n v="215"/>
    <n v="860"/>
    <x v="5"/>
    <x v="0"/>
    <x v="4"/>
    <x v="1"/>
  </r>
  <r>
    <x v="171"/>
    <s v="Tonya Kline"/>
    <x v="2"/>
    <n v="2"/>
    <n v="138"/>
    <n v="276"/>
    <x v="5"/>
    <x v="0"/>
    <x v="4"/>
    <x v="3"/>
  </r>
  <r>
    <x v="171"/>
    <s v="Christopher Smith"/>
    <x v="6"/>
    <n v="5"/>
    <n v="66"/>
    <n v="330"/>
    <x v="1"/>
    <x v="0"/>
    <x v="4"/>
    <x v="3"/>
  </r>
  <r>
    <x v="171"/>
    <s v="Donna Short"/>
    <x v="6"/>
    <n v="2"/>
    <n v="506"/>
    <n v="1012"/>
    <x v="4"/>
    <x v="0"/>
    <x v="4"/>
    <x v="3"/>
  </r>
  <r>
    <x v="171"/>
    <s v="Gary Medina"/>
    <x v="6"/>
    <n v="5"/>
    <n v="960"/>
    <n v="4800"/>
    <x v="1"/>
    <x v="0"/>
    <x v="4"/>
    <x v="3"/>
  </r>
  <r>
    <x v="172"/>
    <s v="Amber Hill"/>
    <x v="6"/>
    <n v="6"/>
    <n v="320"/>
    <n v="1920"/>
    <x v="1"/>
    <x v="0"/>
    <x v="4"/>
    <x v="4"/>
  </r>
  <r>
    <x v="173"/>
    <s v="Jamie Scott"/>
    <x v="1"/>
    <n v="1"/>
    <n v="841"/>
    <n v="841"/>
    <x v="5"/>
    <x v="0"/>
    <x v="4"/>
    <x v="5"/>
  </r>
  <r>
    <x v="173"/>
    <s v="Denise Matthews"/>
    <x v="8"/>
    <n v="5"/>
    <n v="745"/>
    <n v="3725"/>
    <x v="0"/>
    <x v="0"/>
    <x v="4"/>
    <x v="5"/>
  </r>
  <r>
    <x v="174"/>
    <s v="Nicholas Wolfe"/>
    <x v="9"/>
    <n v="2"/>
    <n v="376"/>
    <n v="752"/>
    <x v="2"/>
    <x v="0"/>
    <x v="4"/>
    <x v="0"/>
  </r>
  <r>
    <x v="174"/>
    <s v="Madeline Johnson"/>
    <x v="5"/>
    <n v="5"/>
    <n v="507"/>
    <n v="2535"/>
    <x v="1"/>
    <x v="0"/>
    <x v="4"/>
    <x v="0"/>
  </r>
  <r>
    <x v="175"/>
    <s v="Sharon Martinez"/>
    <x v="6"/>
    <n v="5"/>
    <n v="511"/>
    <n v="2555"/>
    <x v="1"/>
    <x v="0"/>
    <x v="4"/>
    <x v="2"/>
  </r>
  <r>
    <x v="176"/>
    <s v="Ms. Leslie Schmidt"/>
    <x v="5"/>
    <n v="4"/>
    <n v="979"/>
    <n v="3916"/>
    <x v="0"/>
    <x v="0"/>
    <x v="4"/>
    <x v="1"/>
  </r>
  <r>
    <x v="178"/>
    <s v="Jason Martinez MD"/>
    <x v="0"/>
    <n v="6"/>
    <n v="953"/>
    <n v="5718"/>
    <x v="2"/>
    <x v="0"/>
    <x v="4"/>
    <x v="3"/>
  </r>
  <r>
    <x v="6"/>
    <s v="Natasha Elliott"/>
    <x v="6"/>
    <n v="1"/>
    <n v="374"/>
    <n v="374"/>
    <x v="5"/>
    <x v="0"/>
    <x v="4"/>
    <x v="4"/>
  </r>
  <r>
    <x v="179"/>
    <s v="Emma Knapp"/>
    <x v="7"/>
    <n v="2"/>
    <n v="95"/>
    <n v="190"/>
    <x v="5"/>
    <x v="0"/>
    <x v="4"/>
    <x v="5"/>
  </r>
  <r>
    <x v="179"/>
    <s v="Barbara Hale"/>
    <x v="2"/>
    <n v="6"/>
    <n v="708"/>
    <n v="4248"/>
    <x v="3"/>
    <x v="0"/>
    <x v="4"/>
    <x v="5"/>
  </r>
  <r>
    <x v="180"/>
    <s v="Donna Schneider"/>
    <x v="1"/>
    <n v="3"/>
    <n v="125"/>
    <n v="375"/>
    <x v="4"/>
    <x v="0"/>
    <x v="4"/>
    <x v="0"/>
  </r>
  <r>
    <x v="309"/>
    <s v="Kenneth Black"/>
    <x v="5"/>
    <n v="1"/>
    <n v="831"/>
    <n v="831"/>
    <x v="2"/>
    <x v="0"/>
    <x v="4"/>
    <x v="2"/>
  </r>
  <r>
    <x v="181"/>
    <s v="Elizabeth Thomas"/>
    <x v="8"/>
    <n v="1"/>
    <n v="458"/>
    <n v="458"/>
    <x v="5"/>
    <x v="0"/>
    <x v="4"/>
    <x v="1"/>
  </r>
  <r>
    <x v="181"/>
    <s v="Rebecca Robinson"/>
    <x v="0"/>
    <n v="6"/>
    <n v="613"/>
    <n v="3678"/>
    <x v="4"/>
    <x v="0"/>
    <x v="4"/>
    <x v="1"/>
  </r>
  <r>
    <x v="182"/>
    <s v="Tracey Brown"/>
    <x v="4"/>
    <n v="4"/>
    <n v="943"/>
    <n v="3772"/>
    <x v="0"/>
    <x v="0"/>
    <x v="4"/>
    <x v="6"/>
  </r>
  <r>
    <x v="183"/>
    <s v="Adam Bates"/>
    <x v="1"/>
    <n v="3"/>
    <n v="91"/>
    <n v="273"/>
    <x v="5"/>
    <x v="0"/>
    <x v="4"/>
    <x v="3"/>
  </r>
  <r>
    <x v="183"/>
    <s v="Joe Anderson"/>
    <x v="6"/>
    <n v="2"/>
    <n v="993"/>
    <n v="1986"/>
    <x v="4"/>
    <x v="0"/>
    <x v="4"/>
    <x v="3"/>
  </r>
  <r>
    <x v="184"/>
    <s v="Monica Hopkins"/>
    <x v="5"/>
    <n v="3"/>
    <n v="115"/>
    <n v="345"/>
    <x v="4"/>
    <x v="0"/>
    <x v="4"/>
    <x v="4"/>
  </r>
  <r>
    <x v="185"/>
    <s v="Philip Garcia"/>
    <x v="8"/>
    <n v="4"/>
    <n v="96"/>
    <n v="384"/>
    <x v="5"/>
    <x v="0"/>
    <x v="4"/>
    <x v="5"/>
  </r>
  <r>
    <x v="185"/>
    <s v="Brianna Martin"/>
    <x v="1"/>
    <n v="4"/>
    <n v="581"/>
    <n v="2324"/>
    <x v="3"/>
    <x v="0"/>
    <x v="4"/>
    <x v="5"/>
  </r>
  <r>
    <x v="23"/>
    <s v="Noah Patel"/>
    <x v="3"/>
    <n v="5"/>
    <n v="453"/>
    <n v="2265"/>
    <x v="5"/>
    <x v="0"/>
    <x v="4"/>
    <x v="0"/>
  </r>
  <r>
    <x v="23"/>
    <s v="Adam Fernandez"/>
    <x v="0"/>
    <n v="5"/>
    <n v="606"/>
    <n v="3030"/>
    <x v="5"/>
    <x v="0"/>
    <x v="4"/>
    <x v="0"/>
  </r>
  <r>
    <x v="186"/>
    <s v="Brittany Winters"/>
    <x v="6"/>
    <n v="5"/>
    <n v="486"/>
    <n v="2430"/>
    <x v="5"/>
    <x v="0"/>
    <x v="4"/>
    <x v="2"/>
  </r>
  <r>
    <x v="186"/>
    <s v="Tina Singh"/>
    <x v="0"/>
    <n v="6"/>
    <n v="915"/>
    <n v="5490"/>
    <x v="2"/>
    <x v="0"/>
    <x v="4"/>
    <x v="2"/>
  </r>
  <r>
    <x v="188"/>
    <s v="Brian Robbins"/>
    <x v="0"/>
    <n v="5"/>
    <n v="251"/>
    <n v="1255"/>
    <x v="5"/>
    <x v="0"/>
    <x v="4"/>
    <x v="6"/>
  </r>
  <r>
    <x v="188"/>
    <s v="Jennifer Johnson"/>
    <x v="0"/>
    <n v="3"/>
    <n v="896"/>
    <n v="2688"/>
    <x v="0"/>
    <x v="0"/>
    <x v="4"/>
    <x v="6"/>
  </r>
  <r>
    <x v="38"/>
    <s v="Natalie Mendoza"/>
    <x v="8"/>
    <n v="4"/>
    <n v="759"/>
    <n v="3036"/>
    <x v="2"/>
    <x v="0"/>
    <x v="4"/>
    <x v="3"/>
  </r>
  <r>
    <x v="190"/>
    <s v="Melissa Davis"/>
    <x v="2"/>
    <n v="4"/>
    <n v="442"/>
    <n v="1768"/>
    <x v="0"/>
    <x v="0"/>
    <x v="4"/>
    <x v="0"/>
  </r>
  <r>
    <x v="310"/>
    <s v="Kayla Bell"/>
    <x v="8"/>
    <n v="5"/>
    <n v="296"/>
    <n v="1480"/>
    <x v="4"/>
    <x v="0"/>
    <x v="4"/>
    <x v="1"/>
  </r>
  <r>
    <x v="311"/>
    <s v="Karen Dunn"/>
    <x v="0"/>
    <n v="6"/>
    <n v="155"/>
    <n v="930"/>
    <x v="4"/>
    <x v="0"/>
    <x v="5"/>
    <x v="3"/>
  </r>
  <r>
    <x v="192"/>
    <s v="David Lewis"/>
    <x v="5"/>
    <n v="6"/>
    <n v="690"/>
    <n v="4140"/>
    <x v="2"/>
    <x v="0"/>
    <x v="5"/>
    <x v="4"/>
  </r>
  <r>
    <x v="7"/>
    <s v="Brittany Ford"/>
    <x v="0"/>
    <n v="3"/>
    <n v="103"/>
    <n v="309"/>
    <x v="3"/>
    <x v="0"/>
    <x v="5"/>
    <x v="5"/>
  </r>
  <r>
    <x v="7"/>
    <s v="Melanie Tanner"/>
    <x v="4"/>
    <n v="5"/>
    <n v="388"/>
    <n v="1940"/>
    <x v="5"/>
    <x v="0"/>
    <x v="5"/>
    <x v="5"/>
  </r>
  <r>
    <x v="7"/>
    <s v="Janet Massey"/>
    <x v="4"/>
    <n v="6"/>
    <n v="499"/>
    <n v="2994"/>
    <x v="1"/>
    <x v="0"/>
    <x v="5"/>
    <x v="5"/>
  </r>
  <r>
    <x v="312"/>
    <s v="Kyle Randall"/>
    <x v="4"/>
    <n v="3"/>
    <n v="559"/>
    <n v="1677"/>
    <x v="2"/>
    <x v="0"/>
    <x v="5"/>
    <x v="0"/>
  </r>
  <r>
    <x v="8"/>
    <s v="Paul Lee"/>
    <x v="9"/>
    <n v="3"/>
    <n v="343"/>
    <n v="1029"/>
    <x v="0"/>
    <x v="0"/>
    <x v="5"/>
    <x v="2"/>
  </r>
  <r>
    <x v="193"/>
    <s v="Andrea Anderson"/>
    <x v="7"/>
    <n v="5"/>
    <n v="297"/>
    <n v="1485"/>
    <x v="4"/>
    <x v="0"/>
    <x v="5"/>
    <x v="1"/>
  </r>
  <r>
    <x v="193"/>
    <s v="Frank Mcmillan"/>
    <x v="2"/>
    <n v="6"/>
    <n v="478"/>
    <n v="2868"/>
    <x v="5"/>
    <x v="0"/>
    <x v="5"/>
    <x v="1"/>
  </r>
  <r>
    <x v="39"/>
    <s v="Sarah Neal"/>
    <x v="5"/>
    <n v="3"/>
    <n v="331"/>
    <n v="993"/>
    <x v="5"/>
    <x v="0"/>
    <x v="5"/>
    <x v="6"/>
  </r>
  <r>
    <x v="39"/>
    <s v="Brandon Howell"/>
    <x v="2"/>
    <n v="6"/>
    <n v="794"/>
    <n v="4764"/>
    <x v="0"/>
    <x v="0"/>
    <x v="5"/>
    <x v="6"/>
  </r>
  <r>
    <x v="195"/>
    <s v="Brandon Nelson"/>
    <x v="1"/>
    <n v="4"/>
    <n v="346"/>
    <n v="1384"/>
    <x v="0"/>
    <x v="0"/>
    <x v="5"/>
    <x v="4"/>
  </r>
  <r>
    <x v="196"/>
    <s v="Melissa Gibbs"/>
    <x v="4"/>
    <n v="4"/>
    <n v="717"/>
    <n v="2868"/>
    <x v="2"/>
    <x v="0"/>
    <x v="5"/>
    <x v="5"/>
  </r>
  <r>
    <x v="197"/>
    <s v="Jennifer Lewis"/>
    <x v="2"/>
    <n v="1"/>
    <n v="187"/>
    <n v="187"/>
    <x v="3"/>
    <x v="0"/>
    <x v="5"/>
    <x v="0"/>
  </r>
  <r>
    <x v="313"/>
    <s v="Randy Pierce"/>
    <x v="8"/>
    <n v="3"/>
    <n v="771"/>
    <n v="2313"/>
    <x v="1"/>
    <x v="0"/>
    <x v="5"/>
    <x v="2"/>
  </r>
  <r>
    <x v="24"/>
    <s v="Manuel Todd"/>
    <x v="8"/>
    <n v="3"/>
    <n v="675"/>
    <n v="2025"/>
    <x v="2"/>
    <x v="0"/>
    <x v="5"/>
    <x v="6"/>
  </r>
  <r>
    <x v="198"/>
    <s v="Jose Castillo"/>
    <x v="7"/>
    <n v="1"/>
    <n v="434"/>
    <n v="434"/>
    <x v="0"/>
    <x v="0"/>
    <x v="5"/>
    <x v="3"/>
  </r>
  <r>
    <x v="199"/>
    <s v="Matthew Scott"/>
    <x v="8"/>
    <n v="4"/>
    <n v="111"/>
    <n v="444"/>
    <x v="3"/>
    <x v="0"/>
    <x v="5"/>
    <x v="4"/>
  </r>
  <r>
    <x v="199"/>
    <s v="Patricia Williams"/>
    <x v="4"/>
    <n v="3"/>
    <n v="462"/>
    <n v="1386"/>
    <x v="2"/>
    <x v="0"/>
    <x v="5"/>
    <x v="4"/>
  </r>
  <r>
    <x v="200"/>
    <s v="Larry Aguilar"/>
    <x v="7"/>
    <n v="1"/>
    <n v="280"/>
    <n v="280"/>
    <x v="5"/>
    <x v="0"/>
    <x v="5"/>
    <x v="5"/>
  </r>
  <r>
    <x v="200"/>
    <s v="James Anderson"/>
    <x v="8"/>
    <n v="1"/>
    <n v="850"/>
    <n v="850"/>
    <x v="3"/>
    <x v="0"/>
    <x v="5"/>
    <x v="5"/>
  </r>
  <r>
    <x v="201"/>
    <s v="Christopher Johnson"/>
    <x v="3"/>
    <n v="4"/>
    <n v="218"/>
    <n v="872"/>
    <x v="1"/>
    <x v="0"/>
    <x v="5"/>
    <x v="0"/>
  </r>
  <r>
    <x v="202"/>
    <s v="Charles Holmes"/>
    <x v="4"/>
    <n v="5"/>
    <n v="181"/>
    <n v="905"/>
    <x v="5"/>
    <x v="0"/>
    <x v="5"/>
    <x v="2"/>
  </r>
  <r>
    <x v="202"/>
    <s v="Lori Drake"/>
    <x v="2"/>
    <n v="6"/>
    <n v="607"/>
    <n v="3642"/>
    <x v="3"/>
    <x v="0"/>
    <x v="5"/>
    <x v="2"/>
  </r>
  <r>
    <x v="203"/>
    <s v="Mr. Ryan Watson"/>
    <x v="1"/>
    <n v="5"/>
    <n v="740"/>
    <n v="3700"/>
    <x v="2"/>
    <x v="0"/>
    <x v="5"/>
    <x v="1"/>
  </r>
  <r>
    <x v="204"/>
    <s v="Elizabeth Carlson"/>
    <x v="4"/>
    <n v="6"/>
    <n v="677"/>
    <n v="4062"/>
    <x v="3"/>
    <x v="0"/>
    <x v="5"/>
    <x v="6"/>
  </r>
  <r>
    <x v="314"/>
    <s v="Richard Mcknight III"/>
    <x v="9"/>
    <n v="3"/>
    <n v="816"/>
    <n v="2448"/>
    <x v="4"/>
    <x v="0"/>
    <x v="5"/>
    <x v="3"/>
  </r>
  <r>
    <x v="205"/>
    <s v="Randall Green"/>
    <x v="3"/>
    <n v="3"/>
    <n v="778"/>
    <n v="2334"/>
    <x v="1"/>
    <x v="0"/>
    <x v="5"/>
    <x v="4"/>
  </r>
  <r>
    <x v="315"/>
    <s v="Richard Miller"/>
    <x v="7"/>
    <n v="4"/>
    <n v="206"/>
    <n v="824"/>
    <x v="0"/>
    <x v="0"/>
    <x v="5"/>
    <x v="2"/>
  </r>
  <r>
    <x v="316"/>
    <s v="Tracey Maynard"/>
    <x v="4"/>
    <n v="4"/>
    <n v="996"/>
    <n v="3984"/>
    <x v="2"/>
    <x v="0"/>
    <x v="5"/>
    <x v="6"/>
  </r>
  <r>
    <x v="208"/>
    <s v="Dr. John Ayala"/>
    <x v="4"/>
    <n v="4"/>
    <n v="359"/>
    <n v="1436"/>
    <x v="2"/>
    <x v="0"/>
    <x v="5"/>
    <x v="3"/>
  </r>
  <r>
    <x v="209"/>
    <s v="Jason Russell"/>
    <x v="4"/>
    <n v="6"/>
    <n v="916"/>
    <n v="5496"/>
    <x v="2"/>
    <x v="0"/>
    <x v="6"/>
    <x v="5"/>
  </r>
  <r>
    <x v="9"/>
    <s v="Felicia Weaver"/>
    <x v="9"/>
    <n v="2"/>
    <n v="194"/>
    <n v="388"/>
    <x v="4"/>
    <x v="0"/>
    <x v="6"/>
    <x v="0"/>
  </r>
  <r>
    <x v="9"/>
    <s v="Kevin Jones"/>
    <x v="6"/>
    <n v="6"/>
    <n v="784"/>
    <n v="4704"/>
    <x v="5"/>
    <x v="0"/>
    <x v="6"/>
    <x v="0"/>
  </r>
  <r>
    <x v="317"/>
    <s v="Virginia Moore"/>
    <x v="1"/>
    <n v="2"/>
    <n v="304"/>
    <n v="608"/>
    <x v="0"/>
    <x v="0"/>
    <x v="6"/>
    <x v="1"/>
  </r>
  <r>
    <x v="212"/>
    <s v="Paige Thompson"/>
    <x v="1"/>
    <n v="2"/>
    <n v="472"/>
    <n v="944"/>
    <x v="1"/>
    <x v="0"/>
    <x v="6"/>
    <x v="3"/>
  </r>
  <r>
    <x v="212"/>
    <s v="Lisa Hodge"/>
    <x v="6"/>
    <n v="6"/>
    <n v="974"/>
    <n v="5844"/>
    <x v="3"/>
    <x v="0"/>
    <x v="6"/>
    <x v="3"/>
  </r>
  <r>
    <x v="41"/>
    <s v="Jason Moore"/>
    <x v="8"/>
    <n v="3"/>
    <n v="563"/>
    <n v="1689"/>
    <x v="0"/>
    <x v="0"/>
    <x v="6"/>
    <x v="4"/>
  </r>
  <r>
    <x v="213"/>
    <s v="Miguel Chavez"/>
    <x v="0"/>
    <n v="5"/>
    <n v="329"/>
    <n v="1645"/>
    <x v="3"/>
    <x v="0"/>
    <x v="6"/>
    <x v="5"/>
  </r>
  <r>
    <x v="214"/>
    <s v="Leah Miller"/>
    <x v="9"/>
    <n v="4"/>
    <n v="53"/>
    <n v="212"/>
    <x v="4"/>
    <x v="0"/>
    <x v="6"/>
    <x v="0"/>
  </r>
  <r>
    <x v="214"/>
    <s v="Austin Johnson"/>
    <x v="4"/>
    <n v="6"/>
    <n v="960"/>
    <n v="5760"/>
    <x v="5"/>
    <x v="0"/>
    <x v="6"/>
    <x v="0"/>
  </r>
  <r>
    <x v="215"/>
    <s v="Lauren Torres"/>
    <x v="7"/>
    <n v="6"/>
    <n v="82"/>
    <n v="492"/>
    <x v="1"/>
    <x v="0"/>
    <x v="6"/>
    <x v="2"/>
  </r>
  <r>
    <x v="216"/>
    <s v="Christopher Ali"/>
    <x v="7"/>
    <n v="4"/>
    <n v="636"/>
    <n v="2544"/>
    <x v="5"/>
    <x v="0"/>
    <x v="6"/>
    <x v="6"/>
  </r>
  <r>
    <x v="217"/>
    <s v="Jay Wilson"/>
    <x v="3"/>
    <n v="5"/>
    <n v="452"/>
    <n v="2260"/>
    <x v="4"/>
    <x v="0"/>
    <x v="6"/>
    <x v="3"/>
  </r>
  <r>
    <x v="25"/>
    <s v="Carrie Sanchez"/>
    <x v="9"/>
    <n v="1"/>
    <n v="201"/>
    <n v="201"/>
    <x v="2"/>
    <x v="0"/>
    <x v="6"/>
    <x v="4"/>
  </r>
  <r>
    <x v="25"/>
    <s v="Cindy Forbes"/>
    <x v="8"/>
    <n v="2"/>
    <n v="535"/>
    <n v="1070"/>
    <x v="4"/>
    <x v="0"/>
    <x v="6"/>
    <x v="4"/>
  </r>
  <r>
    <x v="218"/>
    <s v="Isabella Perez"/>
    <x v="4"/>
    <n v="1"/>
    <n v="608"/>
    <n v="608"/>
    <x v="0"/>
    <x v="0"/>
    <x v="6"/>
    <x v="5"/>
  </r>
  <r>
    <x v="218"/>
    <s v="Mark Williams"/>
    <x v="8"/>
    <n v="2"/>
    <n v="354"/>
    <n v="708"/>
    <x v="0"/>
    <x v="0"/>
    <x v="6"/>
    <x v="5"/>
  </r>
  <r>
    <x v="218"/>
    <s v="Nancy Williams"/>
    <x v="1"/>
    <n v="4"/>
    <n v="672"/>
    <n v="2688"/>
    <x v="0"/>
    <x v="0"/>
    <x v="6"/>
    <x v="5"/>
  </r>
  <r>
    <x v="219"/>
    <s v="John Ingram"/>
    <x v="1"/>
    <n v="5"/>
    <n v="538"/>
    <n v="2690"/>
    <x v="3"/>
    <x v="0"/>
    <x v="6"/>
    <x v="0"/>
  </r>
  <r>
    <x v="220"/>
    <s v="Mary Collier"/>
    <x v="4"/>
    <n v="3"/>
    <n v="862"/>
    <n v="2586"/>
    <x v="1"/>
    <x v="0"/>
    <x v="6"/>
    <x v="2"/>
  </r>
  <r>
    <x v="221"/>
    <s v="Cindy Armstrong"/>
    <x v="3"/>
    <n v="1"/>
    <n v="292"/>
    <n v="292"/>
    <x v="0"/>
    <x v="0"/>
    <x v="6"/>
    <x v="6"/>
  </r>
  <r>
    <x v="221"/>
    <s v="Lisa French"/>
    <x v="1"/>
    <n v="3"/>
    <n v="600"/>
    <n v="1800"/>
    <x v="4"/>
    <x v="0"/>
    <x v="6"/>
    <x v="6"/>
  </r>
  <r>
    <x v="221"/>
    <s v="Jeffrey Mitchell"/>
    <x v="2"/>
    <n v="6"/>
    <n v="692"/>
    <n v="4152"/>
    <x v="0"/>
    <x v="0"/>
    <x v="6"/>
    <x v="6"/>
  </r>
  <r>
    <x v="223"/>
    <s v="Kevin Nelson"/>
    <x v="1"/>
    <n v="3"/>
    <n v="139"/>
    <n v="417"/>
    <x v="2"/>
    <x v="0"/>
    <x v="6"/>
    <x v="4"/>
  </r>
  <r>
    <x v="223"/>
    <s v="Joe Daniels"/>
    <x v="1"/>
    <n v="3"/>
    <n v="756"/>
    <n v="2268"/>
    <x v="1"/>
    <x v="0"/>
    <x v="6"/>
    <x v="4"/>
  </r>
  <r>
    <x v="224"/>
    <s v="Ryan Anderson"/>
    <x v="1"/>
    <n v="1"/>
    <n v="470"/>
    <n v="470"/>
    <x v="5"/>
    <x v="0"/>
    <x v="6"/>
    <x v="5"/>
  </r>
  <r>
    <x v="318"/>
    <s v="Lisa Valenzuela"/>
    <x v="2"/>
    <n v="5"/>
    <n v="99"/>
    <n v="495"/>
    <x v="4"/>
    <x v="0"/>
    <x v="6"/>
    <x v="0"/>
  </r>
  <r>
    <x v="11"/>
    <s v="Gregory Gutierrez"/>
    <x v="0"/>
    <n v="4"/>
    <n v="581"/>
    <n v="2324"/>
    <x v="3"/>
    <x v="0"/>
    <x v="6"/>
    <x v="2"/>
  </r>
  <r>
    <x v="225"/>
    <s v="Sabrina Hansen"/>
    <x v="9"/>
    <n v="3"/>
    <n v="544"/>
    <n v="1632"/>
    <x v="2"/>
    <x v="0"/>
    <x v="6"/>
    <x v="1"/>
  </r>
  <r>
    <x v="226"/>
    <s v="Pamela Barker"/>
    <x v="9"/>
    <n v="4"/>
    <n v="96"/>
    <n v="384"/>
    <x v="5"/>
    <x v="0"/>
    <x v="6"/>
    <x v="6"/>
  </r>
  <r>
    <x v="226"/>
    <s v="Brittney Nash"/>
    <x v="3"/>
    <n v="3"/>
    <n v="641"/>
    <n v="1923"/>
    <x v="0"/>
    <x v="0"/>
    <x v="6"/>
    <x v="6"/>
  </r>
  <r>
    <x v="226"/>
    <s v="Jennifer Salazar"/>
    <x v="1"/>
    <n v="6"/>
    <n v="825"/>
    <n v="4950"/>
    <x v="3"/>
    <x v="0"/>
    <x v="6"/>
    <x v="6"/>
  </r>
  <r>
    <x v="227"/>
    <s v="Michael Cherry"/>
    <x v="4"/>
    <n v="2"/>
    <n v="180"/>
    <n v="360"/>
    <x v="0"/>
    <x v="0"/>
    <x v="6"/>
    <x v="3"/>
  </r>
  <r>
    <x v="227"/>
    <s v="Katherine Smith"/>
    <x v="5"/>
    <n v="5"/>
    <n v="500"/>
    <n v="2500"/>
    <x v="5"/>
    <x v="0"/>
    <x v="6"/>
    <x v="3"/>
  </r>
  <r>
    <x v="42"/>
    <s v="James Garcia"/>
    <x v="5"/>
    <n v="1"/>
    <n v="950"/>
    <n v="950"/>
    <x v="5"/>
    <x v="0"/>
    <x v="6"/>
    <x v="5"/>
  </r>
  <r>
    <x v="229"/>
    <s v="Danny Gill"/>
    <x v="6"/>
    <n v="1"/>
    <n v="667"/>
    <n v="667"/>
    <x v="0"/>
    <x v="0"/>
    <x v="6"/>
    <x v="0"/>
  </r>
  <r>
    <x v="229"/>
    <s v="Hannah Lewis"/>
    <x v="2"/>
    <n v="2"/>
    <n v="939"/>
    <n v="1878"/>
    <x v="2"/>
    <x v="0"/>
    <x v="6"/>
    <x v="0"/>
  </r>
  <r>
    <x v="230"/>
    <s v="Jessica Matthews"/>
    <x v="4"/>
    <n v="6"/>
    <n v="711"/>
    <n v="4266"/>
    <x v="5"/>
    <x v="0"/>
    <x v="7"/>
    <x v="2"/>
  </r>
  <r>
    <x v="231"/>
    <s v="Heather Johnson"/>
    <x v="4"/>
    <n v="6"/>
    <n v="350"/>
    <n v="2100"/>
    <x v="1"/>
    <x v="0"/>
    <x v="7"/>
    <x v="1"/>
  </r>
  <r>
    <x v="232"/>
    <s v="Tristan Gardner DDS"/>
    <x v="9"/>
    <n v="1"/>
    <n v="234"/>
    <n v="234"/>
    <x v="3"/>
    <x v="0"/>
    <x v="7"/>
    <x v="6"/>
  </r>
  <r>
    <x v="232"/>
    <s v="Edward Williamson"/>
    <x v="2"/>
    <n v="6"/>
    <n v="225"/>
    <n v="1350"/>
    <x v="2"/>
    <x v="0"/>
    <x v="7"/>
    <x v="6"/>
  </r>
  <r>
    <x v="232"/>
    <s v="Kristen Smith"/>
    <x v="7"/>
    <n v="3"/>
    <n v="662"/>
    <n v="1986"/>
    <x v="1"/>
    <x v="0"/>
    <x v="7"/>
    <x v="6"/>
  </r>
  <r>
    <x v="232"/>
    <s v="Deborah Hardy"/>
    <x v="6"/>
    <n v="4"/>
    <n v="724"/>
    <n v="2896"/>
    <x v="4"/>
    <x v="0"/>
    <x v="7"/>
    <x v="6"/>
  </r>
  <r>
    <x v="233"/>
    <s v="Linda Smith"/>
    <x v="6"/>
    <n v="1"/>
    <n v="932"/>
    <n v="932"/>
    <x v="1"/>
    <x v="0"/>
    <x v="7"/>
    <x v="3"/>
  </r>
  <r>
    <x v="235"/>
    <s v="Tammy Gregory"/>
    <x v="8"/>
    <n v="2"/>
    <n v="216"/>
    <n v="432"/>
    <x v="3"/>
    <x v="0"/>
    <x v="7"/>
    <x v="5"/>
  </r>
  <r>
    <x v="235"/>
    <s v="Henry Nguyen"/>
    <x v="3"/>
    <n v="2"/>
    <n v="839"/>
    <n v="1678"/>
    <x v="0"/>
    <x v="0"/>
    <x v="7"/>
    <x v="5"/>
  </r>
  <r>
    <x v="235"/>
    <s v="Andrew Martinez"/>
    <x v="3"/>
    <n v="6"/>
    <n v="560"/>
    <n v="3360"/>
    <x v="2"/>
    <x v="0"/>
    <x v="7"/>
    <x v="5"/>
  </r>
  <r>
    <x v="26"/>
    <s v="Nicholas West"/>
    <x v="9"/>
    <n v="4"/>
    <n v="143"/>
    <n v="572"/>
    <x v="2"/>
    <x v="0"/>
    <x v="7"/>
    <x v="0"/>
  </r>
  <r>
    <x v="26"/>
    <s v="Shawn Rivera"/>
    <x v="7"/>
    <n v="3"/>
    <n v="592"/>
    <n v="1776"/>
    <x v="5"/>
    <x v="0"/>
    <x v="7"/>
    <x v="0"/>
  </r>
  <r>
    <x v="26"/>
    <s v="Mr. Nicholas Roberts"/>
    <x v="0"/>
    <n v="6"/>
    <n v="394"/>
    <n v="2364"/>
    <x v="1"/>
    <x v="0"/>
    <x v="7"/>
    <x v="0"/>
  </r>
  <r>
    <x v="319"/>
    <s v="Jason Kennedy"/>
    <x v="6"/>
    <n v="3"/>
    <n v="790"/>
    <n v="2370"/>
    <x v="2"/>
    <x v="0"/>
    <x v="7"/>
    <x v="2"/>
  </r>
  <r>
    <x v="236"/>
    <s v="Krista Townsend"/>
    <x v="9"/>
    <n v="4"/>
    <n v="304"/>
    <n v="1216"/>
    <x v="3"/>
    <x v="0"/>
    <x v="7"/>
    <x v="1"/>
  </r>
  <r>
    <x v="237"/>
    <s v="Christopher Ibarra"/>
    <x v="5"/>
    <n v="5"/>
    <n v="296"/>
    <n v="1480"/>
    <x v="3"/>
    <x v="0"/>
    <x v="7"/>
    <x v="6"/>
  </r>
  <r>
    <x v="239"/>
    <s v="Michael Conner"/>
    <x v="2"/>
    <n v="1"/>
    <n v="658"/>
    <n v="658"/>
    <x v="4"/>
    <x v="0"/>
    <x v="7"/>
    <x v="5"/>
  </r>
  <r>
    <x v="239"/>
    <s v="Christopher Campbell"/>
    <x v="2"/>
    <n v="2"/>
    <n v="822"/>
    <n v="1644"/>
    <x v="3"/>
    <x v="0"/>
    <x v="7"/>
    <x v="5"/>
  </r>
  <r>
    <x v="240"/>
    <s v="Shannon Gibson"/>
    <x v="5"/>
    <n v="2"/>
    <n v="291"/>
    <n v="582"/>
    <x v="3"/>
    <x v="0"/>
    <x v="7"/>
    <x v="0"/>
  </r>
  <r>
    <x v="240"/>
    <s v="Matthew Carpenter"/>
    <x v="9"/>
    <n v="5"/>
    <n v="579"/>
    <n v="2895"/>
    <x v="3"/>
    <x v="0"/>
    <x v="7"/>
    <x v="0"/>
  </r>
  <r>
    <x v="241"/>
    <s v="Jermaine Lawson"/>
    <x v="8"/>
    <n v="1"/>
    <n v="871"/>
    <n v="871"/>
    <x v="2"/>
    <x v="0"/>
    <x v="7"/>
    <x v="2"/>
  </r>
  <r>
    <x v="241"/>
    <s v="Brandi Norris"/>
    <x v="7"/>
    <n v="5"/>
    <n v="747"/>
    <n v="3735"/>
    <x v="5"/>
    <x v="0"/>
    <x v="7"/>
    <x v="2"/>
  </r>
  <r>
    <x v="242"/>
    <s v="Edward Williamson"/>
    <x v="8"/>
    <n v="2"/>
    <n v="727"/>
    <n v="1454"/>
    <x v="2"/>
    <x v="0"/>
    <x v="7"/>
    <x v="1"/>
  </r>
  <r>
    <x v="242"/>
    <s v="Jennifer Mathews"/>
    <x v="2"/>
    <n v="5"/>
    <n v="945"/>
    <n v="4725"/>
    <x v="1"/>
    <x v="0"/>
    <x v="7"/>
    <x v="1"/>
  </r>
  <r>
    <x v="27"/>
    <s v="Jason Long"/>
    <x v="7"/>
    <n v="4"/>
    <n v="335"/>
    <n v="1340"/>
    <x v="4"/>
    <x v="0"/>
    <x v="7"/>
    <x v="6"/>
  </r>
  <r>
    <x v="243"/>
    <s v="Shawna Mccarthy"/>
    <x v="0"/>
    <n v="2"/>
    <n v="662"/>
    <n v="1324"/>
    <x v="4"/>
    <x v="0"/>
    <x v="7"/>
    <x v="3"/>
  </r>
  <r>
    <x v="244"/>
    <s v="Douglas Reyes"/>
    <x v="8"/>
    <n v="1"/>
    <n v="73"/>
    <n v="73"/>
    <x v="1"/>
    <x v="0"/>
    <x v="7"/>
    <x v="4"/>
  </r>
  <r>
    <x v="245"/>
    <s v="Zachary Carter"/>
    <x v="0"/>
    <n v="6"/>
    <n v="552"/>
    <n v="3312"/>
    <x v="2"/>
    <x v="0"/>
    <x v="7"/>
    <x v="5"/>
  </r>
  <r>
    <x v="246"/>
    <s v="Chad Mckenzie"/>
    <x v="5"/>
    <n v="1"/>
    <n v="395"/>
    <n v="395"/>
    <x v="5"/>
    <x v="0"/>
    <x v="7"/>
    <x v="1"/>
  </r>
  <r>
    <x v="246"/>
    <s v="Sheena Rodriguez"/>
    <x v="2"/>
    <n v="6"/>
    <n v="822"/>
    <n v="4932"/>
    <x v="3"/>
    <x v="0"/>
    <x v="7"/>
    <x v="1"/>
  </r>
  <r>
    <x v="12"/>
    <s v="Justin Smith"/>
    <x v="9"/>
    <n v="5"/>
    <n v="205"/>
    <n v="1025"/>
    <x v="2"/>
    <x v="0"/>
    <x v="7"/>
    <x v="6"/>
  </r>
  <r>
    <x v="13"/>
    <s v="Cole Mendez"/>
    <x v="6"/>
    <n v="5"/>
    <n v="988"/>
    <n v="4940"/>
    <x v="4"/>
    <x v="0"/>
    <x v="7"/>
    <x v="4"/>
  </r>
  <r>
    <x v="247"/>
    <s v="Larry Clark"/>
    <x v="8"/>
    <n v="4"/>
    <n v="161"/>
    <n v="644"/>
    <x v="2"/>
    <x v="0"/>
    <x v="7"/>
    <x v="5"/>
  </r>
  <r>
    <x v="248"/>
    <s v="Leslie Miller"/>
    <x v="5"/>
    <n v="4"/>
    <n v="258"/>
    <n v="1032"/>
    <x v="5"/>
    <x v="0"/>
    <x v="7"/>
    <x v="6"/>
  </r>
  <r>
    <x v="248"/>
    <s v="Kevin Moore"/>
    <x v="5"/>
    <n v="5"/>
    <n v="532"/>
    <n v="2660"/>
    <x v="1"/>
    <x v="0"/>
    <x v="7"/>
    <x v="6"/>
  </r>
  <r>
    <x v="248"/>
    <s v="Christopher Best"/>
    <x v="8"/>
    <n v="5"/>
    <n v="680"/>
    <n v="3400"/>
    <x v="0"/>
    <x v="0"/>
    <x v="7"/>
    <x v="6"/>
  </r>
  <r>
    <x v="249"/>
    <s v="Ashley Stephenson"/>
    <x v="7"/>
    <n v="3"/>
    <n v="106"/>
    <n v="318"/>
    <x v="2"/>
    <x v="0"/>
    <x v="3"/>
    <x v="3"/>
  </r>
  <r>
    <x v="249"/>
    <s v="Kimberly Johnson"/>
    <x v="0"/>
    <n v="4"/>
    <n v="490"/>
    <n v="1960"/>
    <x v="1"/>
    <x v="0"/>
    <x v="3"/>
    <x v="3"/>
  </r>
  <r>
    <x v="250"/>
    <s v="Amanda Spencer DVM"/>
    <x v="1"/>
    <n v="1"/>
    <n v="420"/>
    <n v="420"/>
    <x v="2"/>
    <x v="0"/>
    <x v="3"/>
    <x v="4"/>
  </r>
  <r>
    <x v="320"/>
    <s v="Michael Heath"/>
    <x v="2"/>
    <n v="6"/>
    <n v="602"/>
    <n v="3612"/>
    <x v="2"/>
    <x v="0"/>
    <x v="3"/>
    <x v="5"/>
  </r>
  <r>
    <x v="251"/>
    <s v="Ethan Jackson"/>
    <x v="6"/>
    <n v="3"/>
    <n v="376"/>
    <n v="1128"/>
    <x v="1"/>
    <x v="0"/>
    <x v="3"/>
    <x v="0"/>
  </r>
  <r>
    <x v="252"/>
    <s v="Sean Weber"/>
    <x v="7"/>
    <n v="2"/>
    <n v="395"/>
    <n v="790"/>
    <x v="0"/>
    <x v="0"/>
    <x v="3"/>
    <x v="2"/>
  </r>
  <r>
    <x v="252"/>
    <s v="Debra Mitchell"/>
    <x v="2"/>
    <n v="2"/>
    <n v="983"/>
    <n v="1966"/>
    <x v="2"/>
    <x v="0"/>
    <x v="3"/>
    <x v="2"/>
  </r>
  <r>
    <x v="321"/>
    <s v="Gregory Arnold"/>
    <x v="4"/>
    <n v="1"/>
    <n v="378"/>
    <n v="378"/>
    <x v="4"/>
    <x v="0"/>
    <x v="3"/>
    <x v="1"/>
  </r>
  <r>
    <x v="253"/>
    <s v="Karen Page"/>
    <x v="7"/>
    <n v="2"/>
    <n v="710"/>
    <n v="1420"/>
    <x v="1"/>
    <x v="0"/>
    <x v="3"/>
    <x v="6"/>
  </r>
  <r>
    <x v="14"/>
    <s v="Matthew Bailey"/>
    <x v="2"/>
    <n v="1"/>
    <n v="831"/>
    <n v="831"/>
    <x v="1"/>
    <x v="0"/>
    <x v="3"/>
    <x v="4"/>
  </r>
  <r>
    <x v="14"/>
    <s v="Ruben Henderson"/>
    <x v="9"/>
    <n v="5"/>
    <n v="895"/>
    <n v="4475"/>
    <x v="5"/>
    <x v="0"/>
    <x v="3"/>
    <x v="4"/>
  </r>
  <r>
    <x v="254"/>
    <s v="Guy Lawrence"/>
    <x v="1"/>
    <n v="3"/>
    <n v="239"/>
    <n v="717"/>
    <x v="5"/>
    <x v="0"/>
    <x v="3"/>
    <x v="5"/>
  </r>
  <r>
    <x v="254"/>
    <s v="Arthur George"/>
    <x v="2"/>
    <n v="5"/>
    <n v="609"/>
    <n v="3045"/>
    <x v="2"/>
    <x v="0"/>
    <x v="3"/>
    <x v="5"/>
  </r>
  <r>
    <x v="322"/>
    <s v="Alicia Wagner"/>
    <x v="7"/>
    <n v="4"/>
    <n v="216"/>
    <n v="864"/>
    <x v="0"/>
    <x v="0"/>
    <x v="3"/>
    <x v="0"/>
  </r>
  <r>
    <x v="256"/>
    <s v="Amanda Adams"/>
    <x v="6"/>
    <n v="1"/>
    <n v="501"/>
    <n v="501"/>
    <x v="4"/>
    <x v="0"/>
    <x v="3"/>
    <x v="1"/>
  </r>
  <r>
    <x v="257"/>
    <s v="Mary Tanner"/>
    <x v="7"/>
    <n v="1"/>
    <n v="562"/>
    <n v="562"/>
    <x v="0"/>
    <x v="0"/>
    <x v="3"/>
    <x v="6"/>
  </r>
  <r>
    <x v="257"/>
    <s v="Kevin Bryan"/>
    <x v="0"/>
    <n v="3"/>
    <n v="479"/>
    <n v="1437"/>
    <x v="4"/>
    <x v="0"/>
    <x v="3"/>
    <x v="6"/>
  </r>
  <r>
    <x v="257"/>
    <s v="Shannon Stephens"/>
    <x v="9"/>
    <n v="5"/>
    <n v="904"/>
    <n v="4520"/>
    <x v="5"/>
    <x v="0"/>
    <x v="3"/>
    <x v="6"/>
  </r>
  <r>
    <x v="28"/>
    <s v="Cristian Williams"/>
    <x v="5"/>
    <n v="5"/>
    <n v="359"/>
    <n v="1795"/>
    <x v="1"/>
    <x v="0"/>
    <x v="3"/>
    <x v="3"/>
  </r>
  <r>
    <x v="323"/>
    <s v="Christopher Baker"/>
    <x v="4"/>
    <n v="6"/>
    <n v="345"/>
    <n v="2070"/>
    <x v="4"/>
    <x v="0"/>
    <x v="3"/>
    <x v="4"/>
  </r>
  <r>
    <x v="29"/>
    <s v="Erin Holmes"/>
    <x v="7"/>
    <n v="3"/>
    <n v="985"/>
    <n v="2955"/>
    <x v="1"/>
    <x v="0"/>
    <x v="3"/>
    <x v="5"/>
  </r>
  <r>
    <x v="258"/>
    <s v="Diane Vasquez"/>
    <x v="0"/>
    <n v="1"/>
    <n v="996"/>
    <n v="996"/>
    <x v="2"/>
    <x v="0"/>
    <x v="3"/>
    <x v="0"/>
  </r>
  <r>
    <x v="324"/>
    <s v="Glenda Flynn"/>
    <x v="7"/>
    <n v="6"/>
    <n v="624"/>
    <n v="3744"/>
    <x v="0"/>
    <x v="0"/>
    <x v="3"/>
    <x v="2"/>
  </r>
  <r>
    <x v="260"/>
    <s v="Rachel Meyers"/>
    <x v="7"/>
    <n v="1"/>
    <n v="124"/>
    <n v="124"/>
    <x v="1"/>
    <x v="0"/>
    <x v="3"/>
    <x v="6"/>
  </r>
  <r>
    <x v="325"/>
    <s v="Elizabeth Williams"/>
    <x v="6"/>
    <n v="4"/>
    <n v="823"/>
    <n v="3292"/>
    <x v="1"/>
    <x v="0"/>
    <x v="3"/>
    <x v="3"/>
  </r>
  <r>
    <x v="261"/>
    <s v="Rodney Anderson"/>
    <x v="5"/>
    <n v="2"/>
    <n v="848"/>
    <n v="1696"/>
    <x v="3"/>
    <x v="0"/>
    <x v="3"/>
    <x v="4"/>
  </r>
  <r>
    <x v="261"/>
    <s v="Holly White"/>
    <x v="8"/>
    <n v="5"/>
    <n v="851"/>
    <n v="4255"/>
    <x v="4"/>
    <x v="0"/>
    <x v="3"/>
    <x v="4"/>
  </r>
  <r>
    <x v="262"/>
    <s v="Joseph Martinez"/>
    <x v="0"/>
    <n v="4"/>
    <n v="347"/>
    <n v="1388"/>
    <x v="1"/>
    <x v="0"/>
    <x v="3"/>
    <x v="5"/>
  </r>
  <r>
    <x v="262"/>
    <s v="Laura Singh"/>
    <x v="5"/>
    <n v="5"/>
    <n v="566"/>
    <n v="2830"/>
    <x v="5"/>
    <x v="0"/>
    <x v="3"/>
    <x v="5"/>
  </r>
  <r>
    <x v="262"/>
    <s v="Sheila Ferguson"/>
    <x v="9"/>
    <n v="5"/>
    <n v="872"/>
    <n v="4360"/>
    <x v="3"/>
    <x v="0"/>
    <x v="3"/>
    <x v="5"/>
  </r>
  <r>
    <x v="3"/>
    <s v="Joshua Carpenter"/>
    <x v="2"/>
    <n v="6"/>
    <n v="118"/>
    <n v="708"/>
    <x v="3"/>
    <x v="0"/>
    <x v="3"/>
    <x v="0"/>
  </r>
  <r>
    <x v="3"/>
    <s v="Bruce Mcgee"/>
    <x v="3"/>
    <n v="2"/>
    <n v="833"/>
    <n v="1666"/>
    <x v="2"/>
    <x v="0"/>
    <x v="3"/>
    <x v="0"/>
  </r>
  <r>
    <x v="15"/>
    <s v="Michelle Smith"/>
    <x v="5"/>
    <n v="1"/>
    <n v="612"/>
    <n v="612"/>
    <x v="2"/>
    <x v="0"/>
    <x v="3"/>
    <x v="2"/>
  </r>
  <r>
    <x v="15"/>
    <s v="Amy Vega"/>
    <x v="2"/>
    <n v="1"/>
    <n v="832"/>
    <n v="832"/>
    <x v="2"/>
    <x v="0"/>
    <x v="3"/>
    <x v="2"/>
  </r>
  <r>
    <x v="263"/>
    <s v="Todd Sharp"/>
    <x v="7"/>
    <n v="3"/>
    <n v="704"/>
    <n v="2112"/>
    <x v="0"/>
    <x v="0"/>
    <x v="3"/>
    <x v="1"/>
  </r>
  <r>
    <x v="264"/>
    <s v="Alexandra White"/>
    <x v="8"/>
    <n v="3"/>
    <n v="55"/>
    <n v="165"/>
    <x v="2"/>
    <x v="0"/>
    <x v="3"/>
    <x v="6"/>
  </r>
  <r>
    <x v="265"/>
    <s v="Ryan Meyers"/>
    <x v="2"/>
    <n v="2"/>
    <n v="101"/>
    <n v="202"/>
    <x v="0"/>
    <x v="0"/>
    <x v="3"/>
    <x v="3"/>
  </r>
  <r>
    <x v="265"/>
    <s v="Vincent Zamora"/>
    <x v="7"/>
    <n v="5"/>
    <n v="93"/>
    <n v="465"/>
    <x v="4"/>
    <x v="0"/>
    <x v="3"/>
    <x v="3"/>
  </r>
  <r>
    <x v="265"/>
    <s v="Christine Williams"/>
    <x v="9"/>
    <n v="5"/>
    <n v="550"/>
    <n v="2750"/>
    <x v="5"/>
    <x v="0"/>
    <x v="3"/>
    <x v="3"/>
  </r>
  <r>
    <x v="266"/>
    <s v="Tiffany Lee"/>
    <x v="0"/>
    <n v="2"/>
    <n v="784"/>
    <n v="1568"/>
    <x v="5"/>
    <x v="0"/>
    <x v="3"/>
    <x v="4"/>
  </r>
  <r>
    <x v="267"/>
    <s v="Jennifer Carr"/>
    <x v="0"/>
    <n v="1"/>
    <n v="626"/>
    <n v="626"/>
    <x v="0"/>
    <x v="0"/>
    <x v="11"/>
    <x v="5"/>
  </r>
  <r>
    <x v="267"/>
    <s v="Christian Macias"/>
    <x v="6"/>
    <n v="6"/>
    <n v="422"/>
    <n v="2532"/>
    <x v="5"/>
    <x v="0"/>
    <x v="11"/>
    <x v="5"/>
  </r>
  <r>
    <x v="267"/>
    <s v="Lauren Knox"/>
    <x v="5"/>
    <n v="3"/>
    <n v="967"/>
    <n v="2901"/>
    <x v="3"/>
    <x v="0"/>
    <x v="11"/>
    <x v="5"/>
  </r>
  <r>
    <x v="326"/>
    <s v="Gail Marshall"/>
    <x v="5"/>
    <n v="1"/>
    <n v="630"/>
    <n v="630"/>
    <x v="0"/>
    <x v="0"/>
    <x v="11"/>
    <x v="2"/>
  </r>
  <r>
    <x v="269"/>
    <s v="Veronica Torres"/>
    <x v="9"/>
    <n v="4"/>
    <n v="355"/>
    <n v="1420"/>
    <x v="2"/>
    <x v="0"/>
    <x v="11"/>
    <x v="1"/>
  </r>
  <r>
    <x v="327"/>
    <s v="Kathryn Wagner"/>
    <x v="3"/>
    <n v="6"/>
    <n v="966"/>
    <n v="5796"/>
    <x v="4"/>
    <x v="0"/>
    <x v="11"/>
    <x v="6"/>
  </r>
  <r>
    <x v="270"/>
    <s v="Edward Thomas"/>
    <x v="8"/>
    <n v="1"/>
    <n v="602"/>
    <n v="602"/>
    <x v="4"/>
    <x v="0"/>
    <x v="11"/>
    <x v="3"/>
  </r>
  <r>
    <x v="270"/>
    <s v="John Hill"/>
    <x v="6"/>
    <n v="2"/>
    <n v="824"/>
    <n v="1648"/>
    <x v="1"/>
    <x v="0"/>
    <x v="11"/>
    <x v="3"/>
  </r>
  <r>
    <x v="272"/>
    <s v="Brett Wong"/>
    <x v="4"/>
    <n v="5"/>
    <n v="949"/>
    <n v="4745"/>
    <x v="3"/>
    <x v="0"/>
    <x v="11"/>
    <x v="5"/>
  </r>
  <r>
    <x v="328"/>
    <s v="Nathan Gomez"/>
    <x v="1"/>
    <n v="6"/>
    <n v="959"/>
    <n v="5754"/>
    <x v="1"/>
    <x v="0"/>
    <x v="11"/>
    <x v="0"/>
  </r>
  <r>
    <x v="273"/>
    <s v="James Pierce"/>
    <x v="2"/>
    <n v="5"/>
    <n v="166"/>
    <n v="830"/>
    <x v="3"/>
    <x v="0"/>
    <x v="11"/>
    <x v="2"/>
  </r>
  <r>
    <x v="273"/>
    <s v="Bobby Williams"/>
    <x v="4"/>
    <n v="4"/>
    <n v="705"/>
    <n v="2820"/>
    <x v="2"/>
    <x v="0"/>
    <x v="11"/>
    <x v="2"/>
  </r>
  <r>
    <x v="274"/>
    <s v="Cynthia Anderson"/>
    <x v="0"/>
    <n v="1"/>
    <n v="583"/>
    <n v="583"/>
    <x v="5"/>
    <x v="0"/>
    <x v="11"/>
    <x v="1"/>
  </r>
  <r>
    <x v="274"/>
    <s v="Charles Nguyen"/>
    <x v="9"/>
    <n v="2"/>
    <n v="815"/>
    <n v="1630"/>
    <x v="2"/>
    <x v="0"/>
    <x v="11"/>
    <x v="1"/>
  </r>
  <r>
    <x v="275"/>
    <s v="Victor Strickland"/>
    <x v="9"/>
    <n v="4"/>
    <n v="625"/>
    <n v="2500"/>
    <x v="3"/>
    <x v="0"/>
    <x v="11"/>
    <x v="6"/>
  </r>
  <r>
    <x v="275"/>
    <s v="James Harris"/>
    <x v="0"/>
    <n v="6"/>
    <n v="859"/>
    <n v="5154"/>
    <x v="0"/>
    <x v="0"/>
    <x v="11"/>
    <x v="6"/>
  </r>
  <r>
    <x v="276"/>
    <s v="Michael Fischer"/>
    <x v="6"/>
    <n v="1"/>
    <n v="738"/>
    <n v="738"/>
    <x v="5"/>
    <x v="0"/>
    <x v="11"/>
    <x v="3"/>
  </r>
  <r>
    <x v="276"/>
    <s v="Allen Austin"/>
    <x v="9"/>
    <n v="3"/>
    <n v="657"/>
    <n v="1971"/>
    <x v="0"/>
    <x v="0"/>
    <x v="11"/>
    <x v="3"/>
  </r>
  <r>
    <x v="278"/>
    <s v="Ryan Cruz"/>
    <x v="6"/>
    <n v="5"/>
    <n v="76"/>
    <n v="380"/>
    <x v="4"/>
    <x v="0"/>
    <x v="11"/>
    <x v="5"/>
  </r>
  <r>
    <x v="279"/>
    <s v="Margaret Taylor"/>
    <x v="0"/>
    <n v="1"/>
    <n v="256"/>
    <n v="256"/>
    <x v="5"/>
    <x v="0"/>
    <x v="11"/>
    <x v="0"/>
  </r>
  <r>
    <x v="279"/>
    <s v="Beverly Schneider"/>
    <x v="5"/>
    <n v="3"/>
    <n v="539"/>
    <n v="1617"/>
    <x v="0"/>
    <x v="0"/>
    <x v="11"/>
    <x v="0"/>
  </r>
  <r>
    <x v="280"/>
    <s v="Barry Walters"/>
    <x v="6"/>
    <n v="1"/>
    <n v="456"/>
    <n v="456"/>
    <x v="5"/>
    <x v="0"/>
    <x v="11"/>
    <x v="1"/>
  </r>
  <r>
    <x v="280"/>
    <s v="Jessica Delgado"/>
    <x v="1"/>
    <n v="5"/>
    <n v="625"/>
    <n v="3125"/>
    <x v="0"/>
    <x v="0"/>
    <x v="11"/>
    <x v="1"/>
  </r>
  <r>
    <x v="281"/>
    <s v="Mallory Hudson"/>
    <x v="9"/>
    <n v="1"/>
    <n v="346"/>
    <n v="346"/>
    <x v="1"/>
    <x v="0"/>
    <x v="11"/>
    <x v="6"/>
  </r>
  <r>
    <x v="281"/>
    <s v="George Hill"/>
    <x v="8"/>
    <n v="3"/>
    <n v="430"/>
    <n v="1290"/>
    <x v="1"/>
    <x v="0"/>
    <x v="11"/>
    <x v="6"/>
  </r>
  <r>
    <x v="282"/>
    <s v="John Rogers"/>
    <x v="3"/>
    <n v="2"/>
    <n v="102"/>
    <n v="204"/>
    <x v="2"/>
    <x v="0"/>
    <x v="11"/>
    <x v="3"/>
  </r>
  <r>
    <x v="282"/>
    <s v="Heather Ramirez"/>
    <x v="0"/>
    <n v="3"/>
    <n v="439"/>
    <n v="1317"/>
    <x v="5"/>
    <x v="0"/>
    <x v="11"/>
    <x v="3"/>
  </r>
  <r>
    <x v="283"/>
    <s v="Molly Alvarez"/>
    <x v="0"/>
    <n v="3"/>
    <n v="966"/>
    <n v="2898"/>
    <x v="4"/>
    <x v="0"/>
    <x v="11"/>
    <x v="4"/>
  </r>
  <r>
    <x v="43"/>
    <s v="Ryan Sawyer"/>
    <x v="7"/>
    <n v="4"/>
    <n v="331"/>
    <n v="1324"/>
    <x v="3"/>
    <x v="0"/>
    <x v="11"/>
    <x v="5"/>
  </r>
  <r>
    <x v="43"/>
    <s v="Michael Barnes"/>
    <x v="8"/>
    <n v="2"/>
    <n v="883"/>
    <n v="1766"/>
    <x v="1"/>
    <x v="0"/>
    <x v="11"/>
    <x v="5"/>
  </r>
  <r>
    <x v="284"/>
    <s v="Jeanne Richardson"/>
    <x v="5"/>
    <n v="4"/>
    <n v="323"/>
    <n v="1292"/>
    <x v="4"/>
    <x v="0"/>
    <x v="11"/>
    <x v="0"/>
  </r>
  <r>
    <x v="285"/>
    <s v="Erica Reed"/>
    <x v="9"/>
    <n v="3"/>
    <n v="921"/>
    <n v="2763"/>
    <x v="1"/>
    <x v="0"/>
    <x v="11"/>
    <x v="2"/>
  </r>
  <r>
    <x v="286"/>
    <s v="Lindsey Davis"/>
    <x v="6"/>
    <n v="1"/>
    <n v="380"/>
    <n v="380"/>
    <x v="5"/>
    <x v="0"/>
    <x v="11"/>
    <x v="6"/>
  </r>
  <r>
    <x v="286"/>
    <s v="Tracy Williams"/>
    <x v="6"/>
    <n v="3"/>
    <n v="776"/>
    <n v="2328"/>
    <x v="1"/>
    <x v="0"/>
    <x v="11"/>
    <x v="6"/>
  </r>
  <r>
    <x v="287"/>
    <s v="Tyler Armstrong"/>
    <x v="7"/>
    <n v="3"/>
    <n v="92"/>
    <n v="276"/>
    <x v="1"/>
    <x v="0"/>
    <x v="11"/>
    <x v="4"/>
  </r>
  <r>
    <x v="288"/>
    <s v="Carl Griffith"/>
    <x v="3"/>
    <n v="4"/>
    <n v="476"/>
    <n v="1904"/>
    <x v="1"/>
    <x v="0"/>
    <x v="11"/>
    <x v="5"/>
  </r>
  <r>
    <x v="288"/>
    <s v="Jason Chapman"/>
    <x v="2"/>
    <n v="3"/>
    <n v="876"/>
    <n v="2628"/>
    <x v="5"/>
    <x v="0"/>
    <x v="11"/>
    <x v="5"/>
  </r>
  <r>
    <x v="30"/>
    <s v="Rachel Johnson"/>
    <x v="1"/>
    <n v="3"/>
    <n v="651"/>
    <n v="1953"/>
    <x v="4"/>
    <x v="0"/>
    <x v="11"/>
    <x v="0"/>
  </r>
  <r>
    <x v="30"/>
    <s v="Kimberly Oneal"/>
    <x v="8"/>
    <n v="6"/>
    <n v="495"/>
    <n v="2970"/>
    <x v="2"/>
    <x v="0"/>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602A44-FD91-4B9D-ADD3-4A0982B8749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2">
    <pivotField numFmtId="14" showAll="0">
      <items count="330">
        <item x="44"/>
        <item x="45"/>
        <item x="46"/>
        <item x="47"/>
        <item x="48"/>
        <item x="296"/>
        <item x="49"/>
        <item x="16"/>
        <item x="31"/>
        <item x="50"/>
        <item x="51"/>
        <item x="297"/>
        <item x="52"/>
        <item x="53"/>
        <item x="54"/>
        <item x="55"/>
        <item x="56"/>
        <item x="298"/>
        <item x="17"/>
        <item x="57"/>
        <item x="299"/>
        <item x="58"/>
        <item x="59"/>
        <item x="18"/>
        <item x="60"/>
        <item x="61"/>
        <item x="32"/>
        <item x="62"/>
        <item x="63"/>
        <item x="19"/>
        <item x="64"/>
        <item x="300"/>
        <item x="65"/>
        <item x="66"/>
        <item x="67"/>
        <item x="301"/>
        <item x="0"/>
        <item x="68"/>
        <item x="69"/>
        <item x="70"/>
        <item x="302"/>
        <item x="71"/>
        <item x="72"/>
        <item x="73"/>
        <item x="74"/>
        <item x="75"/>
        <item x="303"/>
        <item x="76"/>
        <item x="77"/>
        <item x="78"/>
        <item x="4"/>
        <item x="79"/>
        <item x="80"/>
        <item x="81"/>
        <item x="1"/>
        <item x="82"/>
        <item x="292"/>
        <item x="83"/>
        <item x="84"/>
        <item x="85"/>
        <item x="86"/>
        <item x="87"/>
        <item x="88"/>
        <item x="89"/>
        <item x="90"/>
        <item x="304"/>
        <item x="91"/>
        <item x="92"/>
        <item x="93"/>
        <item x="94"/>
        <item x="95"/>
        <item x="96"/>
        <item x="97"/>
        <item x="98"/>
        <item x="99"/>
        <item x="100"/>
        <item x="101"/>
        <item x="102"/>
        <item x="305"/>
        <item x="103"/>
        <item x="104"/>
        <item x="105"/>
        <item x="106"/>
        <item x="107"/>
        <item x="108"/>
        <item x="109"/>
        <item x="110"/>
        <item x="33"/>
        <item x="111"/>
        <item x="112"/>
        <item x="289"/>
        <item x="20"/>
        <item x="113"/>
        <item x="2"/>
        <item x="293"/>
        <item x="114"/>
        <item x="115"/>
        <item x="116"/>
        <item x="117"/>
        <item x="118"/>
        <item x="119"/>
        <item x="5"/>
        <item x="34"/>
        <item x="120"/>
        <item x="121"/>
        <item x="122"/>
        <item x="123"/>
        <item x="124"/>
        <item x="125"/>
        <item x="21"/>
        <item x="306"/>
        <item x="126"/>
        <item x="127"/>
        <item x="35"/>
        <item x="128"/>
        <item x="129"/>
        <item x="130"/>
        <item x="131"/>
        <item x="132"/>
        <item x="133"/>
        <item x="134"/>
        <item x="135"/>
        <item x="136"/>
        <item x="137"/>
        <item x="138"/>
        <item x="139"/>
        <item x="140"/>
        <item x="141"/>
        <item x="36"/>
        <item x="142"/>
        <item x="143"/>
        <item x="144"/>
        <item x="145"/>
        <item x="307"/>
        <item x="146"/>
        <item x="147"/>
        <item x="148"/>
        <item x="294"/>
        <item x="149"/>
        <item x="308"/>
        <item x="150"/>
        <item x="151"/>
        <item x="152"/>
        <item x="153"/>
        <item x="154"/>
        <item x="22"/>
        <item x="155"/>
        <item x="156"/>
        <item x="157"/>
        <item x="158"/>
        <item x="159"/>
        <item x="37"/>
        <item x="160"/>
        <item x="161"/>
        <item x="162"/>
        <item x="163"/>
        <item x="164"/>
        <item x="165"/>
        <item x="166"/>
        <item x="167"/>
        <item x="168"/>
        <item x="169"/>
        <item x="170"/>
        <item x="171"/>
        <item x="172"/>
        <item x="173"/>
        <item x="174"/>
        <item x="175"/>
        <item x="176"/>
        <item x="177"/>
        <item x="178"/>
        <item x="6"/>
        <item x="179"/>
        <item x="180"/>
        <item x="309"/>
        <item x="181"/>
        <item x="182"/>
        <item x="183"/>
        <item x="184"/>
        <item x="185"/>
        <item x="23"/>
        <item x="186"/>
        <item x="187"/>
        <item x="188"/>
        <item x="38"/>
        <item x="295"/>
        <item x="189"/>
        <item x="190"/>
        <item x="310"/>
        <item x="191"/>
        <item x="311"/>
        <item x="192"/>
        <item x="7"/>
        <item x="312"/>
        <item x="8"/>
        <item x="193"/>
        <item x="39"/>
        <item x="194"/>
        <item x="195"/>
        <item x="196"/>
        <item x="197"/>
        <item x="313"/>
        <item x="24"/>
        <item x="198"/>
        <item x="199"/>
        <item x="200"/>
        <item x="201"/>
        <item x="202"/>
        <item x="203"/>
        <item x="204"/>
        <item x="314"/>
        <item x="205"/>
        <item x="206"/>
        <item x="315"/>
        <item x="207"/>
        <item x="316"/>
        <item x="208"/>
        <item x="40"/>
        <item x="209"/>
        <item x="9"/>
        <item x="210"/>
        <item x="317"/>
        <item x="211"/>
        <item x="212"/>
        <item x="41"/>
        <item x="213"/>
        <item x="214"/>
        <item x="215"/>
        <item x="10"/>
        <item x="216"/>
        <item x="217"/>
        <item x="25"/>
        <item x="218"/>
        <item x="219"/>
        <item x="220"/>
        <item x="221"/>
        <item x="222"/>
        <item x="223"/>
        <item x="224"/>
        <item x="318"/>
        <item x="11"/>
        <item x="225"/>
        <item x="226"/>
        <item x="227"/>
        <item x="228"/>
        <item x="42"/>
        <item x="229"/>
        <item x="230"/>
        <item x="231"/>
        <item x="232"/>
        <item x="233"/>
        <item x="234"/>
        <item x="235"/>
        <item x="26"/>
        <item x="319"/>
        <item x="236"/>
        <item x="237"/>
        <item x="238"/>
        <item x="239"/>
        <item x="240"/>
        <item x="241"/>
        <item x="242"/>
        <item x="27"/>
        <item x="243"/>
        <item x="244"/>
        <item x="245"/>
        <item x="246"/>
        <item x="12"/>
        <item x="13"/>
        <item x="247"/>
        <item x="291"/>
        <item x="248"/>
        <item x="249"/>
        <item x="250"/>
        <item x="320"/>
        <item x="251"/>
        <item x="252"/>
        <item x="321"/>
        <item x="253"/>
        <item x="290"/>
        <item x="14"/>
        <item x="254"/>
        <item x="322"/>
        <item x="255"/>
        <item x="256"/>
        <item x="257"/>
        <item x="28"/>
        <item x="323"/>
        <item x="29"/>
        <item x="258"/>
        <item x="324"/>
        <item x="259"/>
        <item x="260"/>
        <item x="325"/>
        <item x="261"/>
        <item x="262"/>
        <item x="3"/>
        <item x="15"/>
        <item x="263"/>
        <item x="264"/>
        <item x="265"/>
        <item x="266"/>
        <item x="267"/>
        <item x="268"/>
        <item x="326"/>
        <item x="269"/>
        <item x="327"/>
        <item x="270"/>
        <item x="271"/>
        <item x="272"/>
        <item x="328"/>
        <item x="273"/>
        <item x="274"/>
        <item x="275"/>
        <item x="276"/>
        <item x="277"/>
        <item x="278"/>
        <item x="279"/>
        <item x="280"/>
        <item x="281"/>
        <item x="282"/>
        <item x="283"/>
        <item x="43"/>
        <item x="284"/>
        <item x="285"/>
        <item x="286"/>
        <item x="287"/>
        <item x="288"/>
        <item x="30"/>
        <item t="default"/>
      </items>
    </pivotField>
    <pivotField showAll="0"/>
    <pivotField showAll="0"/>
    <pivotField dataField="1"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Qty Sold" fld="3" subtotal="average" baseField="0" baseItem="0" numFmtId="2"/>
  </dataFields>
  <formats count="3">
    <format dxfId="48">
      <pivotArea type="all" dataOnly="0" outline="0" fieldPosition="0"/>
    </format>
    <format dxfId="47">
      <pivotArea dataOnly="0" labelOnly="1" outline="0" axis="axisValues" fieldPosition="0"/>
    </format>
    <format dxfId="46">
      <pivotArea outline="0" collapsedLevelsAreSubtotals="1" fieldPosition="0"/>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C6787D-5C75-4F95-8BD0-ABF2FB6C618A}"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D20:K32" firstHeaderRow="1" firstDataRow="2" firstDataCol="1"/>
  <pivotFields count="12">
    <pivotField numFmtId="14" showAll="0">
      <items count="330">
        <item x="44"/>
        <item x="45"/>
        <item x="46"/>
        <item x="47"/>
        <item x="48"/>
        <item x="296"/>
        <item x="49"/>
        <item x="16"/>
        <item x="31"/>
        <item x="50"/>
        <item x="51"/>
        <item x="297"/>
        <item x="52"/>
        <item x="53"/>
        <item x="54"/>
        <item x="55"/>
        <item x="56"/>
        <item x="298"/>
        <item x="17"/>
        <item x="57"/>
        <item x="299"/>
        <item x="58"/>
        <item x="59"/>
        <item x="18"/>
        <item x="60"/>
        <item x="61"/>
        <item x="32"/>
        <item x="62"/>
        <item x="63"/>
        <item x="19"/>
        <item x="64"/>
        <item x="300"/>
        <item x="65"/>
        <item x="66"/>
        <item x="67"/>
        <item x="301"/>
        <item x="0"/>
        <item x="68"/>
        <item x="69"/>
        <item x="70"/>
        <item x="302"/>
        <item x="71"/>
        <item x="72"/>
        <item x="73"/>
        <item x="74"/>
        <item x="75"/>
        <item x="303"/>
        <item x="76"/>
        <item x="77"/>
        <item x="78"/>
        <item x="4"/>
        <item x="79"/>
        <item x="80"/>
        <item x="81"/>
        <item x="1"/>
        <item x="82"/>
        <item x="292"/>
        <item x="83"/>
        <item x="84"/>
        <item x="85"/>
        <item x="86"/>
        <item x="87"/>
        <item x="88"/>
        <item x="89"/>
        <item x="90"/>
        <item x="304"/>
        <item x="91"/>
        <item x="92"/>
        <item x="93"/>
        <item x="94"/>
        <item x="95"/>
        <item x="96"/>
        <item x="97"/>
        <item x="98"/>
        <item x="99"/>
        <item x="100"/>
        <item x="101"/>
        <item x="102"/>
        <item x="305"/>
        <item x="103"/>
        <item x="104"/>
        <item x="105"/>
        <item x="106"/>
        <item x="107"/>
        <item x="108"/>
        <item x="109"/>
        <item x="110"/>
        <item x="33"/>
        <item x="111"/>
        <item x="112"/>
        <item x="289"/>
        <item x="20"/>
        <item x="113"/>
        <item x="2"/>
        <item x="293"/>
        <item x="114"/>
        <item x="115"/>
        <item x="116"/>
        <item x="117"/>
        <item x="118"/>
        <item x="119"/>
        <item x="5"/>
        <item x="34"/>
        <item x="120"/>
        <item x="121"/>
        <item x="122"/>
        <item x="123"/>
        <item x="124"/>
        <item x="125"/>
        <item x="21"/>
        <item x="306"/>
        <item x="126"/>
        <item x="127"/>
        <item x="35"/>
        <item x="128"/>
        <item x="129"/>
        <item x="130"/>
        <item x="131"/>
        <item x="132"/>
        <item x="133"/>
        <item x="134"/>
        <item x="135"/>
        <item x="136"/>
        <item x="137"/>
        <item x="138"/>
        <item x="139"/>
        <item x="140"/>
        <item x="141"/>
        <item x="36"/>
        <item x="142"/>
        <item x="143"/>
        <item x="144"/>
        <item x="145"/>
        <item x="307"/>
        <item x="146"/>
        <item x="147"/>
        <item x="148"/>
        <item x="294"/>
        <item x="149"/>
        <item x="308"/>
        <item x="150"/>
        <item x="151"/>
        <item x="152"/>
        <item x="153"/>
        <item x="154"/>
        <item x="22"/>
        <item x="155"/>
        <item x="156"/>
        <item x="157"/>
        <item x="158"/>
        <item x="159"/>
        <item x="37"/>
        <item x="160"/>
        <item x="161"/>
        <item x="162"/>
        <item x="163"/>
        <item x="164"/>
        <item x="165"/>
        <item x="166"/>
        <item x="167"/>
        <item x="168"/>
        <item x="169"/>
        <item x="170"/>
        <item x="171"/>
        <item x="172"/>
        <item x="173"/>
        <item x="174"/>
        <item x="175"/>
        <item x="176"/>
        <item x="177"/>
        <item x="178"/>
        <item x="6"/>
        <item x="179"/>
        <item x="180"/>
        <item x="309"/>
        <item x="181"/>
        <item x="182"/>
        <item x="183"/>
        <item x="184"/>
        <item x="185"/>
        <item x="23"/>
        <item x="186"/>
        <item x="187"/>
        <item x="188"/>
        <item x="38"/>
        <item x="295"/>
        <item x="189"/>
        <item x="190"/>
        <item x="310"/>
        <item x="191"/>
        <item x="311"/>
        <item x="192"/>
        <item x="7"/>
        <item x="312"/>
        <item x="8"/>
        <item x="193"/>
        <item x="39"/>
        <item x="194"/>
        <item x="195"/>
        <item x="196"/>
        <item x="197"/>
        <item x="313"/>
        <item x="24"/>
        <item x="198"/>
        <item x="199"/>
        <item x="200"/>
        <item x="201"/>
        <item x="202"/>
        <item x="203"/>
        <item x="204"/>
        <item x="314"/>
        <item x="205"/>
        <item x="206"/>
        <item x="315"/>
        <item x="207"/>
        <item x="316"/>
        <item x="208"/>
        <item x="40"/>
        <item x="209"/>
        <item x="9"/>
        <item x="210"/>
        <item x="317"/>
        <item x="211"/>
        <item x="212"/>
        <item x="41"/>
        <item x="213"/>
        <item x="214"/>
        <item x="215"/>
        <item x="10"/>
        <item x="216"/>
        <item x="217"/>
        <item x="25"/>
        <item x="218"/>
        <item x="219"/>
        <item x="220"/>
        <item x="221"/>
        <item x="222"/>
        <item x="223"/>
        <item x="224"/>
        <item x="318"/>
        <item x="11"/>
        <item x="225"/>
        <item x="226"/>
        <item x="227"/>
        <item x="228"/>
        <item x="42"/>
        <item x="229"/>
        <item x="230"/>
        <item x="231"/>
        <item x="232"/>
        <item x="233"/>
        <item x="234"/>
        <item x="235"/>
        <item x="26"/>
        <item x="319"/>
        <item x="236"/>
        <item x="237"/>
        <item x="238"/>
        <item x="239"/>
        <item x="240"/>
        <item x="241"/>
        <item x="242"/>
        <item x="27"/>
        <item x="243"/>
        <item x="244"/>
        <item x="245"/>
        <item x="246"/>
        <item x="12"/>
        <item x="13"/>
        <item x="247"/>
        <item x="291"/>
        <item x="248"/>
        <item x="249"/>
        <item x="250"/>
        <item x="320"/>
        <item x="251"/>
        <item x="252"/>
        <item x="321"/>
        <item x="253"/>
        <item x="290"/>
        <item x="14"/>
        <item x="254"/>
        <item x="322"/>
        <item x="255"/>
        <item x="256"/>
        <item x="257"/>
        <item x="28"/>
        <item x="323"/>
        <item x="29"/>
        <item x="258"/>
        <item x="324"/>
        <item x="259"/>
        <item x="260"/>
        <item x="325"/>
        <item x="261"/>
        <item x="262"/>
        <item x="3"/>
        <item x="15"/>
        <item x="263"/>
        <item x="264"/>
        <item x="265"/>
        <item x="266"/>
        <item x="267"/>
        <item x="268"/>
        <item x="326"/>
        <item x="269"/>
        <item x="327"/>
        <item x="270"/>
        <item x="271"/>
        <item x="272"/>
        <item x="328"/>
        <item x="273"/>
        <item x="274"/>
        <item x="275"/>
        <item x="276"/>
        <item x="277"/>
        <item x="278"/>
        <item x="279"/>
        <item x="280"/>
        <item x="281"/>
        <item x="282"/>
        <item x="283"/>
        <item x="43"/>
        <item x="284"/>
        <item x="285"/>
        <item x="286"/>
        <item x="287"/>
        <item x="288"/>
        <item x="30"/>
        <item t="default"/>
      </items>
    </pivotField>
    <pivotField showAll="0"/>
    <pivotField axis="axisRow" showAll="0" sortType="descending">
      <items count="11">
        <item x="1"/>
        <item x="3"/>
        <item x="7"/>
        <item x="4"/>
        <item x="2"/>
        <item x="6"/>
        <item x="9"/>
        <item x="5"/>
        <item x="0"/>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axis="axisCol" showAll="0">
      <items count="7">
        <item x="2"/>
        <item x="5"/>
        <item x="3"/>
        <item x="1"/>
        <item x="4"/>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v="9"/>
    </i>
    <i>
      <x v="5"/>
    </i>
    <i>
      <x v="4"/>
    </i>
    <i>
      <x v="3"/>
    </i>
    <i>
      <x v="7"/>
    </i>
    <i>
      <x v="8"/>
    </i>
    <i>
      <x v="6"/>
    </i>
    <i>
      <x v="2"/>
    </i>
    <i>
      <x v="1"/>
    </i>
    <i>
      <x/>
    </i>
    <i t="grand">
      <x/>
    </i>
  </rowItems>
  <colFields count="1">
    <field x="6"/>
  </colFields>
  <colItems count="7">
    <i>
      <x/>
    </i>
    <i>
      <x v="1"/>
    </i>
    <i>
      <x v="2"/>
    </i>
    <i>
      <x v="3"/>
    </i>
    <i>
      <x v="4"/>
    </i>
    <i>
      <x v="5"/>
    </i>
    <i t="grand">
      <x/>
    </i>
  </colItems>
  <dataFields count="1">
    <dataField name="Sum of Total Revenue" fld="5" baseField="0" baseItem="0" numFmtId="166"/>
  </dataFields>
  <conditionalFormats count="1">
    <conditionalFormat scope="field" type="column" priority="13">
      <pivotAreas count="1">
        <pivotArea outline="0" collapsedLevelsAreSubtotals="1" fieldPosition="0">
          <references count="3">
            <reference field="4294967294" count="1" selected="0">
              <x v="0"/>
            </reference>
            <reference field="2" count="0" selected="0"/>
            <reference field="6" count="0" selected="0"/>
          </references>
        </pivotArea>
      </pivotAreas>
    </conditionalFormat>
  </conditionalFormats>
  <pivotTableStyleInfo name="PivotStyleDark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E7EBB8-59DE-48FA-9BB1-3A3689DEA1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M7:P20" firstHeaderRow="0" firstDataRow="1" firstDataCol="1"/>
  <pivotFields count="12">
    <pivotField numFmtId="14" showAll="0">
      <items count="330">
        <item x="44"/>
        <item x="45"/>
        <item x="46"/>
        <item x="47"/>
        <item x="48"/>
        <item x="296"/>
        <item x="49"/>
        <item x="16"/>
        <item x="31"/>
        <item x="50"/>
        <item x="51"/>
        <item x="297"/>
        <item x="52"/>
        <item x="53"/>
        <item x="54"/>
        <item x="55"/>
        <item x="56"/>
        <item x="298"/>
        <item x="17"/>
        <item x="57"/>
        <item x="299"/>
        <item x="58"/>
        <item x="59"/>
        <item x="18"/>
        <item x="60"/>
        <item x="61"/>
        <item x="32"/>
        <item x="62"/>
        <item x="63"/>
        <item x="19"/>
        <item x="64"/>
        <item x="300"/>
        <item x="65"/>
        <item x="66"/>
        <item x="67"/>
        <item x="301"/>
        <item x="0"/>
        <item x="68"/>
        <item x="69"/>
        <item x="70"/>
        <item x="302"/>
        <item x="71"/>
        <item x="72"/>
        <item x="73"/>
        <item x="74"/>
        <item x="75"/>
        <item x="303"/>
        <item x="76"/>
        <item x="77"/>
        <item x="78"/>
        <item x="4"/>
        <item x="79"/>
        <item x="80"/>
        <item x="81"/>
        <item x="1"/>
        <item x="82"/>
        <item x="292"/>
        <item x="83"/>
        <item x="84"/>
        <item x="85"/>
        <item x="86"/>
        <item x="87"/>
        <item x="88"/>
        <item x="89"/>
        <item x="90"/>
        <item x="304"/>
        <item x="91"/>
        <item x="92"/>
        <item x="93"/>
        <item x="94"/>
        <item x="95"/>
        <item x="96"/>
        <item x="97"/>
        <item x="98"/>
        <item x="99"/>
        <item x="100"/>
        <item x="101"/>
        <item x="102"/>
        <item x="305"/>
        <item x="103"/>
        <item x="104"/>
        <item x="105"/>
        <item x="106"/>
        <item x="107"/>
        <item x="108"/>
        <item x="109"/>
        <item x="110"/>
        <item x="33"/>
        <item x="111"/>
        <item x="112"/>
        <item x="289"/>
        <item x="20"/>
        <item x="113"/>
        <item x="2"/>
        <item x="293"/>
        <item x="114"/>
        <item x="115"/>
        <item x="116"/>
        <item x="117"/>
        <item x="118"/>
        <item x="119"/>
        <item x="5"/>
        <item x="34"/>
        <item x="120"/>
        <item x="121"/>
        <item x="122"/>
        <item x="123"/>
        <item x="124"/>
        <item x="125"/>
        <item x="21"/>
        <item x="306"/>
        <item x="126"/>
        <item x="127"/>
        <item x="35"/>
        <item x="128"/>
        <item x="129"/>
        <item x="130"/>
        <item x="131"/>
        <item x="132"/>
        <item x="133"/>
        <item x="134"/>
        <item x="135"/>
        <item x="136"/>
        <item x="137"/>
        <item x="138"/>
        <item x="139"/>
        <item x="140"/>
        <item x="141"/>
        <item x="36"/>
        <item x="142"/>
        <item x="143"/>
        <item x="144"/>
        <item x="145"/>
        <item x="307"/>
        <item x="146"/>
        <item x="147"/>
        <item x="148"/>
        <item x="294"/>
        <item x="149"/>
        <item x="308"/>
        <item x="150"/>
        <item x="151"/>
        <item x="152"/>
        <item x="153"/>
        <item x="154"/>
        <item x="22"/>
        <item x="155"/>
        <item x="156"/>
        <item x="157"/>
        <item x="158"/>
        <item x="159"/>
        <item x="37"/>
        <item x="160"/>
        <item x="161"/>
        <item x="162"/>
        <item x="163"/>
        <item x="164"/>
        <item x="165"/>
        <item x="166"/>
        <item x="167"/>
        <item x="168"/>
        <item x="169"/>
        <item x="170"/>
        <item x="171"/>
        <item x="172"/>
        <item x="173"/>
        <item x="174"/>
        <item x="175"/>
        <item x="176"/>
        <item x="177"/>
        <item x="178"/>
        <item x="6"/>
        <item x="179"/>
        <item x="180"/>
        <item x="309"/>
        <item x="181"/>
        <item x="182"/>
        <item x="183"/>
        <item x="184"/>
        <item x="185"/>
        <item x="23"/>
        <item x="186"/>
        <item x="187"/>
        <item x="188"/>
        <item x="38"/>
        <item x="295"/>
        <item x="189"/>
        <item x="190"/>
        <item x="310"/>
        <item x="191"/>
        <item x="311"/>
        <item x="192"/>
        <item x="7"/>
        <item x="312"/>
        <item x="8"/>
        <item x="193"/>
        <item x="39"/>
        <item x="194"/>
        <item x="195"/>
        <item x="196"/>
        <item x="197"/>
        <item x="313"/>
        <item x="24"/>
        <item x="198"/>
        <item x="199"/>
        <item x="200"/>
        <item x="201"/>
        <item x="202"/>
        <item x="203"/>
        <item x="204"/>
        <item x="314"/>
        <item x="205"/>
        <item x="206"/>
        <item x="315"/>
        <item x="207"/>
        <item x="316"/>
        <item x="208"/>
        <item x="40"/>
        <item x="209"/>
        <item x="9"/>
        <item x="210"/>
        <item x="317"/>
        <item x="211"/>
        <item x="212"/>
        <item x="41"/>
        <item x="213"/>
        <item x="214"/>
        <item x="215"/>
        <item x="10"/>
        <item x="216"/>
        <item x="217"/>
        <item x="25"/>
        <item x="218"/>
        <item x="219"/>
        <item x="220"/>
        <item x="221"/>
        <item x="222"/>
        <item x="223"/>
        <item x="224"/>
        <item x="318"/>
        <item x="11"/>
        <item x="225"/>
        <item x="226"/>
        <item x="227"/>
        <item x="228"/>
        <item x="42"/>
        <item x="229"/>
        <item x="230"/>
        <item x="231"/>
        <item x="232"/>
        <item x="233"/>
        <item x="234"/>
        <item x="235"/>
        <item x="26"/>
        <item x="319"/>
        <item x="236"/>
        <item x="237"/>
        <item x="238"/>
        <item x="239"/>
        <item x="240"/>
        <item x="241"/>
        <item x="242"/>
        <item x="27"/>
        <item x="243"/>
        <item x="244"/>
        <item x="245"/>
        <item x="246"/>
        <item x="12"/>
        <item x="13"/>
        <item x="247"/>
        <item x="291"/>
        <item x="248"/>
        <item x="249"/>
        <item x="250"/>
        <item x="320"/>
        <item x="251"/>
        <item x="252"/>
        <item x="321"/>
        <item x="253"/>
        <item x="290"/>
        <item x="14"/>
        <item x="254"/>
        <item x="322"/>
        <item x="255"/>
        <item x="256"/>
        <item x="257"/>
        <item x="28"/>
        <item x="323"/>
        <item x="29"/>
        <item x="258"/>
        <item x="324"/>
        <item x="259"/>
        <item x="260"/>
        <item x="325"/>
        <item x="261"/>
        <item x="262"/>
        <item x="3"/>
        <item x="15"/>
        <item x="263"/>
        <item x="264"/>
        <item x="265"/>
        <item x="266"/>
        <item x="267"/>
        <item x="268"/>
        <item x="326"/>
        <item x="269"/>
        <item x="327"/>
        <item x="270"/>
        <item x="271"/>
        <item x="272"/>
        <item x="328"/>
        <item x="273"/>
        <item x="274"/>
        <item x="275"/>
        <item x="276"/>
        <item x="277"/>
        <item x="278"/>
        <item x="279"/>
        <item x="280"/>
        <item x="281"/>
        <item x="282"/>
        <item x="283"/>
        <item x="43"/>
        <item x="284"/>
        <item x="285"/>
        <item x="286"/>
        <item x="287"/>
        <item x="288"/>
        <item x="30"/>
        <item t="default"/>
      </items>
    </pivotField>
    <pivotField showAll="0"/>
    <pivotField showAll="0">
      <items count="11">
        <item x="1"/>
        <item x="3"/>
        <item x="7"/>
        <item x="4"/>
        <item x="2"/>
        <item x="6"/>
        <item x="9"/>
        <item x="5"/>
        <item x="0"/>
        <item x="8"/>
        <item t="default"/>
      </items>
    </pivotField>
    <pivotField showAll="0"/>
    <pivotField showAll="0"/>
    <pivotField dataField="1" showAll="0"/>
    <pivotField showAll="0"/>
    <pivotField showAll="0">
      <items count="2">
        <item x="0"/>
        <item t="default"/>
      </items>
    </pivotField>
    <pivotField axis="axisRow" showAll="0" rankBy="0">
      <items count="13">
        <item x="8"/>
        <item x="0"/>
        <item x="1"/>
        <item x="2"/>
        <item x="9"/>
        <item x="10"/>
        <item x="4"/>
        <item x="5"/>
        <item x="6"/>
        <item x="7"/>
        <item x="3"/>
        <item x="1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Total Revenue " fld="5" baseField="8" baseItem="4" numFmtId="166"/>
    <dataField name="Revenue MTD" fld="5" showDataAs="difference" baseField="8" baseItem="1048828" numFmtId="167"/>
    <dataField name="mom% growth" fld="5" showDataAs="percentDiff" baseField="8" baseItem="1048828" numFmtId="10"/>
  </dataFields>
  <formats count="3">
    <format dxfId="51">
      <pivotArea collapsedLevelsAreSubtotals="1" fieldPosition="0">
        <references count="2">
          <reference field="4294967294" count="1" selected="0">
            <x v="1"/>
          </reference>
          <reference field="8" count="1">
            <x v="1"/>
          </reference>
        </references>
      </pivotArea>
    </format>
    <format dxfId="50">
      <pivotArea collapsedLevelsAreSubtotals="1" fieldPosition="0">
        <references count="2">
          <reference field="4294967294" count="1" selected="0">
            <x v="1"/>
          </reference>
          <reference field="8" count="1">
            <x v="2"/>
          </reference>
        </references>
      </pivotArea>
    </format>
    <format dxfId="49">
      <pivotArea outline="0" fieldPosition="0">
        <references count="1">
          <reference field="4294967294" count="1">
            <x v="1"/>
          </reference>
        </references>
      </pivotArea>
    </format>
  </formats>
  <pivotTableStyleInfo name="PivotStyleDark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E63516-0B10-43FB-92B9-778AB7B7F59B}"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K15" firstHeaderRow="1" firstDataRow="1" firstDataCol="1"/>
  <pivotFields count="12">
    <pivotField numFmtId="14" showAll="0">
      <items count="330">
        <item x="44"/>
        <item x="45"/>
        <item x="46"/>
        <item x="47"/>
        <item x="48"/>
        <item x="296"/>
        <item x="49"/>
        <item x="16"/>
        <item x="31"/>
        <item x="50"/>
        <item x="51"/>
        <item x="297"/>
        <item x="52"/>
        <item x="53"/>
        <item x="54"/>
        <item x="55"/>
        <item x="56"/>
        <item x="298"/>
        <item x="17"/>
        <item x="57"/>
        <item x="299"/>
        <item x="58"/>
        <item x="59"/>
        <item x="18"/>
        <item x="60"/>
        <item x="61"/>
        <item x="32"/>
        <item x="62"/>
        <item x="63"/>
        <item x="19"/>
        <item x="64"/>
        <item x="300"/>
        <item x="65"/>
        <item x="66"/>
        <item x="67"/>
        <item x="301"/>
        <item x="0"/>
        <item x="68"/>
        <item x="69"/>
        <item x="70"/>
        <item x="302"/>
        <item x="71"/>
        <item x="72"/>
        <item x="73"/>
        <item x="74"/>
        <item x="75"/>
        <item x="303"/>
        <item x="76"/>
        <item x="77"/>
        <item x="78"/>
        <item x="4"/>
        <item x="79"/>
        <item x="80"/>
        <item x="81"/>
        <item x="1"/>
        <item x="82"/>
        <item x="292"/>
        <item x="83"/>
        <item x="84"/>
        <item x="85"/>
        <item x="86"/>
        <item x="87"/>
        <item x="88"/>
        <item x="89"/>
        <item x="90"/>
        <item x="304"/>
        <item x="91"/>
        <item x="92"/>
        <item x="93"/>
        <item x="94"/>
        <item x="95"/>
        <item x="96"/>
        <item x="97"/>
        <item x="98"/>
        <item x="99"/>
        <item x="100"/>
        <item x="101"/>
        <item x="102"/>
        <item x="305"/>
        <item x="103"/>
        <item x="104"/>
        <item x="105"/>
        <item x="106"/>
        <item x="107"/>
        <item x="108"/>
        <item x="109"/>
        <item x="110"/>
        <item x="33"/>
        <item x="111"/>
        <item x="112"/>
        <item x="289"/>
        <item x="20"/>
        <item x="113"/>
        <item x="2"/>
        <item x="293"/>
        <item x="114"/>
        <item x="115"/>
        <item x="116"/>
        <item x="117"/>
        <item x="118"/>
        <item x="119"/>
        <item x="5"/>
        <item x="34"/>
        <item x="120"/>
        <item x="121"/>
        <item x="122"/>
        <item x="123"/>
        <item x="124"/>
        <item x="125"/>
        <item x="21"/>
        <item x="306"/>
        <item x="126"/>
        <item x="127"/>
        <item x="35"/>
        <item x="128"/>
        <item x="129"/>
        <item x="130"/>
        <item x="131"/>
        <item x="132"/>
        <item x="133"/>
        <item x="134"/>
        <item x="135"/>
        <item x="136"/>
        <item x="137"/>
        <item x="138"/>
        <item x="139"/>
        <item x="140"/>
        <item x="141"/>
        <item x="36"/>
        <item x="142"/>
        <item x="143"/>
        <item x="144"/>
        <item x="145"/>
        <item x="307"/>
        <item x="146"/>
        <item x="147"/>
        <item x="148"/>
        <item x="294"/>
        <item x="149"/>
        <item x="308"/>
        <item x="150"/>
        <item x="151"/>
        <item x="152"/>
        <item x="153"/>
        <item x="154"/>
        <item x="22"/>
        <item x="155"/>
        <item x="156"/>
        <item x="157"/>
        <item x="158"/>
        <item x="159"/>
        <item x="37"/>
        <item x="160"/>
        <item x="161"/>
        <item x="162"/>
        <item x="163"/>
        <item x="164"/>
        <item x="165"/>
        <item x="166"/>
        <item x="167"/>
        <item x="168"/>
        <item x="169"/>
        <item x="170"/>
        <item x="171"/>
        <item x="172"/>
        <item x="173"/>
        <item x="174"/>
        <item x="175"/>
        <item x="176"/>
        <item x="177"/>
        <item x="178"/>
        <item x="6"/>
        <item x="179"/>
        <item x="180"/>
        <item x="309"/>
        <item x="181"/>
        <item x="182"/>
        <item x="183"/>
        <item x="184"/>
        <item x="185"/>
        <item x="23"/>
        <item x="186"/>
        <item x="187"/>
        <item x="188"/>
        <item x="38"/>
        <item x="295"/>
        <item x="189"/>
        <item x="190"/>
        <item x="310"/>
        <item x="191"/>
        <item x="311"/>
        <item x="192"/>
        <item x="7"/>
        <item x="312"/>
        <item x="8"/>
        <item x="193"/>
        <item x="39"/>
        <item x="194"/>
        <item x="195"/>
        <item x="196"/>
        <item x="197"/>
        <item x="313"/>
        <item x="24"/>
        <item x="198"/>
        <item x="199"/>
        <item x="200"/>
        <item x="201"/>
        <item x="202"/>
        <item x="203"/>
        <item x="204"/>
        <item x="314"/>
        <item x="205"/>
        <item x="206"/>
        <item x="315"/>
        <item x="207"/>
        <item x="316"/>
        <item x="208"/>
        <item x="40"/>
        <item x="209"/>
        <item x="9"/>
        <item x="210"/>
        <item x="317"/>
        <item x="211"/>
        <item x="212"/>
        <item x="41"/>
        <item x="213"/>
        <item x="214"/>
        <item x="215"/>
        <item x="10"/>
        <item x="216"/>
        <item x="217"/>
        <item x="25"/>
        <item x="218"/>
        <item x="219"/>
        <item x="220"/>
        <item x="221"/>
        <item x="222"/>
        <item x="223"/>
        <item x="224"/>
        <item x="318"/>
        <item x="11"/>
        <item x="225"/>
        <item x="226"/>
        <item x="227"/>
        <item x="228"/>
        <item x="42"/>
        <item x="229"/>
        <item x="230"/>
        <item x="231"/>
        <item x="232"/>
        <item x="233"/>
        <item x="234"/>
        <item x="235"/>
        <item x="26"/>
        <item x="319"/>
        <item x="236"/>
        <item x="237"/>
        <item x="238"/>
        <item x="239"/>
        <item x="240"/>
        <item x="241"/>
        <item x="242"/>
        <item x="27"/>
        <item x="243"/>
        <item x="244"/>
        <item x="245"/>
        <item x="246"/>
        <item x="12"/>
        <item x="13"/>
        <item x="247"/>
        <item x="291"/>
        <item x="248"/>
        <item x="249"/>
        <item x="250"/>
        <item x="320"/>
        <item x="251"/>
        <item x="252"/>
        <item x="321"/>
        <item x="253"/>
        <item x="290"/>
        <item x="14"/>
        <item x="254"/>
        <item x="322"/>
        <item x="255"/>
        <item x="256"/>
        <item x="257"/>
        <item x="28"/>
        <item x="323"/>
        <item x="29"/>
        <item x="258"/>
        <item x="324"/>
        <item x="259"/>
        <item x="260"/>
        <item x="325"/>
        <item x="261"/>
        <item x="262"/>
        <item x="3"/>
        <item x="15"/>
        <item x="263"/>
        <item x="264"/>
        <item x="265"/>
        <item x="266"/>
        <item x="267"/>
        <item x="268"/>
        <item x="326"/>
        <item x="269"/>
        <item x="327"/>
        <item x="270"/>
        <item x="271"/>
        <item x="272"/>
        <item x="328"/>
        <item x="273"/>
        <item x="274"/>
        <item x="275"/>
        <item x="276"/>
        <item x="277"/>
        <item x="278"/>
        <item x="279"/>
        <item x="280"/>
        <item x="281"/>
        <item x="282"/>
        <item x="283"/>
        <item x="43"/>
        <item x="284"/>
        <item x="285"/>
        <item x="286"/>
        <item x="287"/>
        <item x="288"/>
        <item x="30"/>
        <item t="default"/>
      </items>
    </pivotField>
    <pivotField showAll="0"/>
    <pivotField showAll="0">
      <items count="11">
        <item x="1"/>
        <item x="3"/>
        <item x="7"/>
        <item x="4"/>
        <item x="2"/>
        <item x="6"/>
        <item x="9"/>
        <item x="5"/>
        <item x="0"/>
        <item x="8"/>
        <item t="default"/>
      </items>
    </pivotField>
    <pivotField dataField="1" showAll="0"/>
    <pivotField showAll="0"/>
    <pivotField showAll="0"/>
    <pivotField showAll="0"/>
    <pivotField showAll="0"/>
    <pivotField showAll="0"/>
    <pivotField axis="axisRow" showAll="0" sortType="descending">
      <items count="8">
        <item x="5"/>
        <item x="0"/>
        <item x="2"/>
        <item x="1"/>
        <item x="6"/>
        <item x="3"/>
        <item x="4"/>
        <item t="default"/>
      </items>
      <autoSortScope>
        <pivotArea dataOnly="0" outline="0" fieldPosition="0">
          <references count="1">
            <reference field="4294967294" count="1" selected="0">
              <x v="0"/>
            </reference>
          </references>
        </pivotArea>
      </autoSortScope>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8">
    <i>
      <x v="1"/>
    </i>
    <i>
      <x/>
    </i>
    <i>
      <x v="4"/>
    </i>
    <i>
      <x v="3"/>
    </i>
    <i>
      <x v="2"/>
    </i>
    <i>
      <x v="6"/>
    </i>
    <i>
      <x v="5"/>
    </i>
    <i t="grand">
      <x/>
    </i>
  </rowItems>
  <colItems count="1">
    <i/>
  </colItems>
  <dataFields count="1">
    <dataField name="Total Quantity Sold" fld="3" baseField="9" baseItem="0"/>
  </dataFields>
  <conditionalFormats count="1">
    <conditionalFormat priority="4">
      <pivotAreas count="1">
        <pivotArea fieldPosition="0">
          <references count="1">
            <reference field="9" count="1">
              <x v="1"/>
            </reference>
          </references>
        </pivotArea>
      </pivotAreas>
    </conditionalFormat>
  </conditionalFormats>
  <pivotTableStyleInfo name="PivotStyleDark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932D15-68B0-4773-9BF2-C6357B5D05CC}"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2">
    <pivotField numFmtId="14" showAll="0">
      <items count="330">
        <item x="44"/>
        <item x="45"/>
        <item x="46"/>
        <item x="47"/>
        <item x="48"/>
        <item x="296"/>
        <item x="49"/>
        <item x="16"/>
        <item x="31"/>
        <item x="50"/>
        <item x="51"/>
        <item x="297"/>
        <item x="52"/>
        <item x="53"/>
        <item x="54"/>
        <item x="55"/>
        <item x="56"/>
        <item x="298"/>
        <item x="17"/>
        <item x="57"/>
        <item x="299"/>
        <item x="58"/>
        <item x="59"/>
        <item x="18"/>
        <item x="60"/>
        <item x="61"/>
        <item x="32"/>
        <item x="62"/>
        <item x="63"/>
        <item x="19"/>
        <item x="64"/>
        <item x="300"/>
        <item x="65"/>
        <item x="66"/>
        <item x="67"/>
        <item x="301"/>
        <item x="0"/>
        <item x="68"/>
        <item x="69"/>
        <item x="70"/>
        <item x="302"/>
        <item x="71"/>
        <item x="72"/>
        <item x="73"/>
        <item x="74"/>
        <item x="75"/>
        <item x="303"/>
        <item x="76"/>
        <item x="77"/>
        <item x="78"/>
        <item x="4"/>
        <item x="79"/>
        <item x="80"/>
        <item x="81"/>
        <item x="1"/>
        <item x="82"/>
        <item x="292"/>
        <item x="83"/>
        <item x="84"/>
        <item x="85"/>
        <item x="86"/>
        <item x="87"/>
        <item x="88"/>
        <item x="89"/>
        <item x="90"/>
        <item x="304"/>
        <item x="91"/>
        <item x="92"/>
        <item x="93"/>
        <item x="94"/>
        <item x="95"/>
        <item x="96"/>
        <item x="97"/>
        <item x="98"/>
        <item x="99"/>
        <item x="100"/>
        <item x="101"/>
        <item x="102"/>
        <item x="305"/>
        <item x="103"/>
        <item x="104"/>
        <item x="105"/>
        <item x="106"/>
        <item x="107"/>
        <item x="108"/>
        <item x="109"/>
        <item x="110"/>
        <item x="33"/>
        <item x="111"/>
        <item x="112"/>
        <item x="289"/>
        <item x="20"/>
        <item x="113"/>
        <item x="2"/>
        <item x="293"/>
        <item x="114"/>
        <item x="115"/>
        <item x="116"/>
        <item x="117"/>
        <item x="118"/>
        <item x="119"/>
        <item x="5"/>
        <item x="34"/>
        <item x="120"/>
        <item x="121"/>
        <item x="122"/>
        <item x="123"/>
        <item x="124"/>
        <item x="125"/>
        <item x="21"/>
        <item x="306"/>
        <item x="126"/>
        <item x="127"/>
        <item x="35"/>
        <item x="128"/>
        <item x="129"/>
        <item x="130"/>
        <item x="131"/>
        <item x="132"/>
        <item x="133"/>
        <item x="134"/>
        <item x="135"/>
        <item x="136"/>
        <item x="137"/>
        <item x="138"/>
        <item x="139"/>
        <item x="140"/>
        <item x="141"/>
        <item x="36"/>
        <item x="142"/>
        <item x="143"/>
        <item x="144"/>
        <item x="145"/>
        <item x="307"/>
        <item x="146"/>
        <item x="147"/>
        <item x="148"/>
        <item x="294"/>
        <item x="149"/>
        <item x="308"/>
        <item x="150"/>
        <item x="151"/>
        <item x="152"/>
        <item x="153"/>
        <item x="154"/>
        <item x="22"/>
        <item x="155"/>
        <item x="156"/>
        <item x="157"/>
        <item x="158"/>
        <item x="159"/>
        <item x="37"/>
        <item x="160"/>
        <item x="161"/>
        <item x="162"/>
        <item x="163"/>
        <item x="164"/>
        <item x="165"/>
        <item x="166"/>
        <item x="167"/>
        <item x="168"/>
        <item x="169"/>
        <item x="170"/>
        <item x="171"/>
        <item x="172"/>
        <item x="173"/>
        <item x="174"/>
        <item x="175"/>
        <item x="176"/>
        <item x="177"/>
        <item x="178"/>
        <item x="6"/>
        <item x="179"/>
        <item x="180"/>
        <item x="309"/>
        <item x="181"/>
        <item x="182"/>
        <item x="183"/>
        <item x="184"/>
        <item x="185"/>
        <item x="23"/>
        <item x="186"/>
        <item x="187"/>
        <item x="188"/>
        <item x="38"/>
        <item x="295"/>
        <item x="189"/>
        <item x="190"/>
        <item x="310"/>
        <item x="191"/>
        <item x="311"/>
        <item x="192"/>
        <item x="7"/>
        <item x="312"/>
        <item x="8"/>
        <item x="193"/>
        <item x="39"/>
        <item x="194"/>
        <item x="195"/>
        <item x="196"/>
        <item x="197"/>
        <item x="313"/>
        <item x="24"/>
        <item x="198"/>
        <item x="199"/>
        <item x="200"/>
        <item x="201"/>
        <item x="202"/>
        <item x="203"/>
        <item x="204"/>
        <item x="314"/>
        <item x="205"/>
        <item x="206"/>
        <item x="315"/>
        <item x="207"/>
        <item x="316"/>
        <item x="208"/>
        <item x="40"/>
        <item x="209"/>
        <item x="9"/>
        <item x="210"/>
        <item x="317"/>
        <item x="211"/>
        <item x="212"/>
        <item x="41"/>
        <item x="213"/>
        <item x="214"/>
        <item x="215"/>
        <item x="10"/>
        <item x="216"/>
        <item x="217"/>
        <item x="25"/>
        <item x="218"/>
        <item x="219"/>
        <item x="220"/>
        <item x="221"/>
        <item x="222"/>
        <item x="223"/>
        <item x="224"/>
        <item x="318"/>
        <item x="11"/>
        <item x="225"/>
        <item x="226"/>
        <item x="227"/>
        <item x="228"/>
        <item x="42"/>
        <item x="229"/>
        <item x="230"/>
        <item x="231"/>
        <item x="232"/>
        <item x="233"/>
        <item x="234"/>
        <item x="235"/>
        <item x="26"/>
        <item x="319"/>
        <item x="236"/>
        <item x="237"/>
        <item x="238"/>
        <item x="239"/>
        <item x="240"/>
        <item x="241"/>
        <item x="242"/>
        <item x="27"/>
        <item x="243"/>
        <item x="244"/>
        <item x="245"/>
        <item x="246"/>
        <item x="12"/>
        <item x="13"/>
        <item x="247"/>
        <item x="291"/>
        <item x="248"/>
        <item x="249"/>
        <item x="250"/>
        <item x="320"/>
        <item x="251"/>
        <item x="252"/>
        <item x="321"/>
        <item x="253"/>
        <item x="290"/>
        <item x="14"/>
        <item x="254"/>
        <item x="322"/>
        <item x="255"/>
        <item x="256"/>
        <item x="257"/>
        <item x="28"/>
        <item x="323"/>
        <item x="29"/>
        <item x="258"/>
        <item x="324"/>
        <item x="259"/>
        <item x="260"/>
        <item x="325"/>
        <item x="261"/>
        <item x="262"/>
        <item x="3"/>
        <item x="15"/>
        <item x="263"/>
        <item x="264"/>
        <item x="265"/>
        <item x="266"/>
        <item x="267"/>
        <item x="268"/>
        <item x="326"/>
        <item x="269"/>
        <item x="327"/>
        <item x="270"/>
        <item x="271"/>
        <item x="272"/>
        <item x="328"/>
        <item x="273"/>
        <item x="274"/>
        <item x="275"/>
        <item x="276"/>
        <item x="277"/>
        <item x="278"/>
        <item x="279"/>
        <item x="280"/>
        <item x="281"/>
        <item x="282"/>
        <item x="283"/>
        <item x="43"/>
        <item x="284"/>
        <item x="285"/>
        <item x="286"/>
        <item x="287"/>
        <item x="288"/>
        <item x="30"/>
        <item t="default"/>
      </items>
    </pivotField>
    <pivotField showAll="0"/>
    <pivotField showAll="0"/>
    <pivotField dataField="1"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Qty Sold" fld="3" baseField="0" baseItem="0" numFmtId="1"/>
  </dataFields>
  <formats count="1">
    <format dxfId="52">
      <pivotArea outline="0" collapsedLevelsAreSubtotals="1" fieldPosition="0"/>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48B67F-E4FE-485C-AF6C-8AF65876E70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2">
    <pivotField numFmtId="14" showAll="0">
      <items count="330">
        <item x="44"/>
        <item x="45"/>
        <item x="46"/>
        <item x="47"/>
        <item x="48"/>
        <item x="296"/>
        <item x="49"/>
        <item x="16"/>
        <item x="31"/>
        <item x="50"/>
        <item x="51"/>
        <item x="297"/>
        <item x="52"/>
        <item x="53"/>
        <item x="54"/>
        <item x="55"/>
        <item x="56"/>
        <item x="298"/>
        <item x="17"/>
        <item x="57"/>
        <item x="299"/>
        <item x="58"/>
        <item x="59"/>
        <item x="18"/>
        <item x="60"/>
        <item x="61"/>
        <item x="32"/>
        <item x="62"/>
        <item x="63"/>
        <item x="19"/>
        <item x="64"/>
        <item x="300"/>
        <item x="65"/>
        <item x="66"/>
        <item x="67"/>
        <item x="301"/>
        <item x="0"/>
        <item x="68"/>
        <item x="69"/>
        <item x="70"/>
        <item x="302"/>
        <item x="71"/>
        <item x="72"/>
        <item x="73"/>
        <item x="74"/>
        <item x="75"/>
        <item x="303"/>
        <item x="76"/>
        <item x="77"/>
        <item x="78"/>
        <item x="4"/>
        <item x="79"/>
        <item x="80"/>
        <item x="81"/>
        <item x="1"/>
        <item x="82"/>
        <item x="292"/>
        <item x="83"/>
        <item x="84"/>
        <item x="85"/>
        <item x="86"/>
        <item x="87"/>
        <item x="88"/>
        <item x="89"/>
        <item x="90"/>
        <item x="304"/>
        <item x="91"/>
        <item x="92"/>
        <item x="93"/>
        <item x="94"/>
        <item x="95"/>
        <item x="96"/>
        <item x="97"/>
        <item x="98"/>
        <item x="99"/>
        <item x="100"/>
        <item x="101"/>
        <item x="102"/>
        <item x="305"/>
        <item x="103"/>
        <item x="104"/>
        <item x="105"/>
        <item x="106"/>
        <item x="107"/>
        <item x="108"/>
        <item x="109"/>
        <item x="110"/>
        <item x="33"/>
        <item x="111"/>
        <item x="112"/>
        <item x="289"/>
        <item x="20"/>
        <item x="113"/>
        <item x="2"/>
        <item x="293"/>
        <item x="114"/>
        <item x="115"/>
        <item x="116"/>
        <item x="117"/>
        <item x="118"/>
        <item x="119"/>
        <item x="5"/>
        <item x="34"/>
        <item x="120"/>
        <item x="121"/>
        <item x="122"/>
        <item x="123"/>
        <item x="124"/>
        <item x="125"/>
        <item x="21"/>
        <item x="306"/>
        <item x="126"/>
        <item x="127"/>
        <item x="35"/>
        <item x="128"/>
        <item x="129"/>
        <item x="130"/>
        <item x="131"/>
        <item x="132"/>
        <item x="133"/>
        <item x="134"/>
        <item x="135"/>
        <item x="136"/>
        <item x="137"/>
        <item x="138"/>
        <item x="139"/>
        <item x="140"/>
        <item x="141"/>
        <item x="36"/>
        <item x="142"/>
        <item x="143"/>
        <item x="144"/>
        <item x="145"/>
        <item x="307"/>
        <item x="146"/>
        <item x="147"/>
        <item x="148"/>
        <item x="294"/>
        <item x="149"/>
        <item x="308"/>
        <item x="150"/>
        <item x="151"/>
        <item x="152"/>
        <item x="153"/>
        <item x="154"/>
        <item x="22"/>
        <item x="155"/>
        <item x="156"/>
        <item x="157"/>
        <item x="158"/>
        <item x="159"/>
        <item x="37"/>
        <item x="160"/>
        <item x="161"/>
        <item x="162"/>
        <item x="163"/>
        <item x="164"/>
        <item x="165"/>
        <item x="166"/>
        <item x="167"/>
        <item x="168"/>
        <item x="169"/>
        <item x="170"/>
        <item x="171"/>
        <item x="172"/>
        <item x="173"/>
        <item x="174"/>
        <item x="175"/>
        <item x="176"/>
        <item x="177"/>
        <item x="178"/>
        <item x="6"/>
        <item x="179"/>
        <item x="180"/>
        <item x="309"/>
        <item x="181"/>
        <item x="182"/>
        <item x="183"/>
        <item x="184"/>
        <item x="185"/>
        <item x="23"/>
        <item x="186"/>
        <item x="187"/>
        <item x="188"/>
        <item x="38"/>
        <item x="295"/>
        <item x="189"/>
        <item x="190"/>
        <item x="310"/>
        <item x="191"/>
        <item x="311"/>
        <item x="192"/>
        <item x="7"/>
        <item x="312"/>
        <item x="8"/>
        <item x="193"/>
        <item x="39"/>
        <item x="194"/>
        <item x="195"/>
        <item x="196"/>
        <item x="197"/>
        <item x="313"/>
        <item x="24"/>
        <item x="198"/>
        <item x="199"/>
        <item x="200"/>
        <item x="201"/>
        <item x="202"/>
        <item x="203"/>
        <item x="204"/>
        <item x="314"/>
        <item x="205"/>
        <item x="206"/>
        <item x="315"/>
        <item x="207"/>
        <item x="316"/>
        <item x="208"/>
        <item x="40"/>
        <item x="209"/>
        <item x="9"/>
        <item x="210"/>
        <item x="317"/>
        <item x="211"/>
        <item x="212"/>
        <item x="41"/>
        <item x="213"/>
        <item x="214"/>
        <item x="215"/>
        <item x="10"/>
        <item x="216"/>
        <item x="217"/>
        <item x="25"/>
        <item x="218"/>
        <item x="219"/>
        <item x="220"/>
        <item x="221"/>
        <item x="222"/>
        <item x="223"/>
        <item x="224"/>
        <item x="318"/>
        <item x="11"/>
        <item x="225"/>
        <item x="226"/>
        <item x="227"/>
        <item x="228"/>
        <item x="42"/>
        <item x="229"/>
        <item x="230"/>
        <item x="231"/>
        <item x="232"/>
        <item x="233"/>
        <item x="234"/>
        <item x="235"/>
        <item x="26"/>
        <item x="319"/>
        <item x="236"/>
        <item x="237"/>
        <item x="238"/>
        <item x="239"/>
        <item x="240"/>
        <item x="241"/>
        <item x="242"/>
        <item x="27"/>
        <item x="243"/>
        <item x="244"/>
        <item x="245"/>
        <item x="246"/>
        <item x="12"/>
        <item x="13"/>
        <item x="247"/>
        <item x="291"/>
        <item x="248"/>
        <item x="249"/>
        <item x="250"/>
        <item x="320"/>
        <item x="251"/>
        <item x="252"/>
        <item x="321"/>
        <item x="253"/>
        <item x="290"/>
        <item x="14"/>
        <item x="254"/>
        <item x="322"/>
        <item x="255"/>
        <item x="256"/>
        <item x="257"/>
        <item x="28"/>
        <item x="323"/>
        <item x="29"/>
        <item x="258"/>
        <item x="324"/>
        <item x="259"/>
        <item x="260"/>
        <item x="325"/>
        <item x="261"/>
        <item x="262"/>
        <item x="3"/>
        <item x="15"/>
        <item x="263"/>
        <item x="264"/>
        <item x="265"/>
        <item x="266"/>
        <item x="267"/>
        <item x="268"/>
        <item x="326"/>
        <item x="269"/>
        <item x="327"/>
        <item x="270"/>
        <item x="271"/>
        <item x="272"/>
        <item x="328"/>
        <item x="273"/>
        <item x="274"/>
        <item x="275"/>
        <item x="276"/>
        <item x="277"/>
        <item x="278"/>
        <item x="279"/>
        <item x="280"/>
        <item x="281"/>
        <item x="282"/>
        <item x="283"/>
        <item x="43"/>
        <item x="284"/>
        <item x="285"/>
        <item x="286"/>
        <item x="287"/>
        <item x="288"/>
        <item x="30"/>
        <item t="default"/>
      </items>
    </pivotField>
    <pivotField showAll="0"/>
    <pivotField showAll="0"/>
    <pivotField showAll="0"/>
    <pivotField showAll="0"/>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Revenue Generated" fld="5" subtotal="average" baseField="0" baseItem="0" numFmtId="167"/>
  </dataFields>
  <formats count="1">
    <format dxfId="53">
      <pivotArea outline="0" collapsedLevelsAreSubtotals="1" fieldPosition="0"/>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038C48-8472-47DB-AEDE-D13B8A2626F1}"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D7:E18" firstHeaderRow="1" firstDataRow="1" firstDataCol="1"/>
  <pivotFields count="12">
    <pivotField numFmtId="14" showAll="0">
      <items count="330">
        <item x="44"/>
        <item x="45"/>
        <item x="46"/>
        <item x="47"/>
        <item x="48"/>
        <item x="296"/>
        <item x="49"/>
        <item x="16"/>
        <item x="31"/>
        <item x="50"/>
        <item x="51"/>
        <item x="297"/>
        <item x="52"/>
        <item x="53"/>
        <item x="54"/>
        <item x="55"/>
        <item x="56"/>
        <item x="298"/>
        <item x="17"/>
        <item x="57"/>
        <item x="299"/>
        <item x="58"/>
        <item x="59"/>
        <item x="18"/>
        <item x="60"/>
        <item x="61"/>
        <item x="32"/>
        <item x="62"/>
        <item x="63"/>
        <item x="19"/>
        <item x="64"/>
        <item x="300"/>
        <item x="65"/>
        <item x="66"/>
        <item x="67"/>
        <item x="301"/>
        <item x="0"/>
        <item x="68"/>
        <item x="69"/>
        <item x="70"/>
        <item x="302"/>
        <item x="71"/>
        <item x="72"/>
        <item x="73"/>
        <item x="74"/>
        <item x="75"/>
        <item x="303"/>
        <item x="76"/>
        <item x="77"/>
        <item x="78"/>
        <item x="4"/>
        <item x="79"/>
        <item x="80"/>
        <item x="81"/>
        <item x="1"/>
        <item x="82"/>
        <item x="292"/>
        <item x="83"/>
        <item x="84"/>
        <item x="85"/>
        <item x="86"/>
        <item x="87"/>
        <item x="88"/>
        <item x="89"/>
        <item x="90"/>
        <item x="304"/>
        <item x="91"/>
        <item x="92"/>
        <item x="93"/>
        <item x="94"/>
        <item x="95"/>
        <item x="96"/>
        <item x="97"/>
        <item x="98"/>
        <item x="99"/>
        <item x="100"/>
        <item x="101"/>
        <item x="102"/>
        <item x="305"/>
        <item x="103"/>
        <item x="104"/>
        <item x="105"/>
        <item x="106"/>
        <item x="107"/>
        <item x="108"/>
        <item x="109"/>
        <item x="110"/>
        <item x="33"/>
        <item x="111"/>
        <item x="112"/>
        <item x="289"/>
        <item x="20"/>
        <item x="113"/>
        <item x="2"/>
        <item x="293"/>
        <item x="114"/>
        <item x="115"/>
        <item x="116"/>
        <item x="117"/>
        <item x="118"/>
        <item x="119"/>
        <item x="5"/>
        <item x="34"/>
        <item x="120"/>
        <item x="121"/>
        <item x="122"/>
        <item x="123"/>
        <item x="124"/>
        <item x="125"/>
        <item x="21"/>
        <item x="306"/>
        <item x="126"/>
        <item x="127"/>
        <item x="35"/>
        <item x="128"/>
        <item x="129"/>
        <item x="130"/>
        <item x="131"/>
        <item x="132"/>
        <item x="133"/>
        <item x="134"/>
        <item x="135"/>
        <item x="136"/>
        <item x="137"/>
        <item x="138"/>
        <item x="139"/>
        <item x="140"/>
        <item x="141"/>
        <item x="36"/>
        <item x="142"/>
        <item x="143"/>
        <item x="144"/>
        <item x="145"/>
        <item x="307"/>
        <item x="146"/>
        <item x="147"/>
        <item x="148"/>
        <item x="294"/>
        <item x="149"/>
        <item x="308"/>
        <item x="150"/>
        <item x="151"/>
        <item x="152"/>
        <item x="153"/>
        <item x="154"/>
        <item x="22"/>
        <item x="155"/>
        <item x="156"/>
        <item x="157"/>
        <item x="158"/>
        <item x="159"/>
        <item x="37"/>
        <item x="160"/>
        <item x="161"/>
        <item x="162"/>
        <item x="163"/>
        <item x="164"/>
        <item x="165"/>
        <item x="166"/>
        <item x="167"/>
        <item x="168"/>
        <item x="169"/>
        <item x="170"/>
        <item x="171"/>
        <item x="172"/>
        <item x="173"/>
        <item x="174"/>
        <item x="175"/>
        <item x="176"/>
        <item x="177"/>
        <item x="178"/>
        <item x="6"/>
        <item x="179"/>
        <item x="180"/>
        <item x="309"/>
        <item x="181"/>
        <item x="182"/>
        <item x="183"/>
        <item x="184"/>
        <item x="185"/>
        <item x="23"/>
        <item x="186"/>
        <item x="187"/>
        <item x="188"/>
        <item x="38"/>
        <item x="295"/>
        <item x="189"/>
        <item x="190"/>
        <item x="310"/>
        <item x="191"/>
        <item x="311"/>
        <item x="192"/>
        <item x="7"/>
        <item x="312"/>
        <item x="8"/>
        <item x="193"/>
        <item x="39"/>
        <item x="194"/>
        <item x="195"/>
        <item x="196"/>
        <item x="197"/>
        <item x="313"/>
        <item x="24"/>
        <item x="198"/>
        <item x="199"/>
        <item x="200"/>
        <item x="201"/>
        <item x="202"/>
        <item x="203"/>
        <item x="204"/>
        <item x="314"/>
        <item x="205"/>
        <item x="206"/>
        <item x="315"/>
        <item x="207"/>
        <item x="316"/>
        <item x="208"/>
        <item x="40"/>
        <item x="209"/>
        <item x="9"/>
        <item x="210"/>
        <item x="317"/>
        <item x="211"/>
        <item x="212"/>
        <item x="41"/>
        <item x="213"/>
        <item x="214"/>
        <item x="215"/>
        <item x="10"/>
        <item x="216"/>
        <item x="217"/>
        <item x="25"/>
        <item x="218"/>
        <item x="219"/>
        <item x="220"/>
        <item x="221"/>
        <item x="222"/>
        <item x="223"/>
        <item x="224"/>
        <item x="318"/>
        <item x="11"/>
        <item x="225"/>
        <item x="226"/>
        <item x="227"/>
        <item x="228"/>
        <item x="42"/>
        <item x="229"/>
        <item x="230"/>
        <item x="231"/>
        <item x="232"/>
        <item x="233"/>
        <item x="234"/>
        <item x="235"/>
        <item x="26"/>
        <item x="319"/>
        <item x="236"/>
        <item x="237"/>
        <item x="238"/>
        <item x="239"/>
        <item x="240"/>
        <item x="241"/>
        <item x="242"/>
        <item x="27"/>
        <item x="243"/>
        <item x="244"/>
        <item x="245"/>
        <item x="246"/>
        <item x="12"/>
        <item x="13"/>
        <item x="247"/>
        <item x="291"/>
        <item x="248"/>
        <item x="249"/>
        <item x="250"/>
        <item x="320"/>
        <item x="251"/>
        <item x="252"/>
        <item x="321"/>
        <item x="253"/>
        <item x="290"/>
        <item x="14"/>
        <item x="254"/>
        <item x="322"/>
        <item x="255"/>
        <item x="256"/>
        <item x="257"/>
        <item x="28"/>
        <item x="323"/>
        <item x="29"/>
        <item x="258"/>
        <item x="324"/>
        <item x="259"/>
        <item x="260"/>
        <item x="325"/>
        <item x="261"/>
        <item x="262"/>
        <item x="3"/>
        <item x="15"/>
        <item x="263"/>
        <item x="264"/>
        <item x="265"/>
        <item x="266"/>
        <item x="267"/>
        <item x="268"/>
        <item x="326"/>
        <item x="269"/>
        <item x="327"/>
        <item x="270"/>
        <item x="271"/>
        <item x="272"/>
        <item x="328"/>
        <item x="273"/>
        <item x="274"/>
        <item x="275"/>
        <item x="276"/>
        <item x="277"/>
        <item x="278"/>
        <item x="279"/>
        <item x="280"/>
        <item x="281"/>
        <item x="282"/>
        <item x="283"/>
        <item x="43"/>
        <item x="284"/>
        <item x="285"/>
        <item x="286"/>
        <item x="287"/>
        <item x="288"/>
        <item x="30"/>
        <item t="default"/>
      </items>
    </pivotField>
    <pivotField showAll="0"/>
    <pivotField axis="axisRow" showAll="0" sortType="descending">
      <items count="11">
        <item x="1"/>
        <item x="3"/>
        <item x="7"/>
        <item x="4"/>
        <item x="2"/>
        <item x="6"/>
        <item x="9"/>
        <item x="5"/>
        <item x="0"/>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v="9"/>
    </i>
    <i>
      <x v="5"/>
    </i>
    <i>
      <x v="4"/>
    </i>
    <i>
      <x v="3"/>
    </i>
    <i>
      <x v="7"/>
    </i>
    <i>
      <x v="8"/>
    </i>
    <i>
      <x v="6"/>
    </i>
    <i>
      <x v="2"/>
    </i>
    <i>
      <x v="1"/>
    </i>
    <i>
      <x/>
    </i>
    <i t="grand">
      <x/>
    </i>
  </rowItems>
  <colItems count="1">
    <i/>
  </colItems>
  <dataFields count="1">
    <dataField name="Total Revenue " fld="5" baseField="2" baseItem="9" numFmtId="166"/>
  </dataFields>
  <conditionalFormats count="1">
    <conditionalFormat priority="6">
      <pivotAreas count="1">
        <pivotArea fieldPosition="0">
          <references count="1">
            <reference field="2" count="1">
              <x v="9"/>
            </reference>
          </references>
        </pivotArea>
      </pivotAreas>
    </conditionalFormat>
  </conditionalFormats>
  <pivotTableStyleInfo name="PivotStyleDark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609ACF-9253-4323-B9AB-6E66279F269B}"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onths">
  <location ref="A20:B33" firstHeaderRow="1" firstDataRow="1" firstDataCol="1"/>
  <pivotFields count="12">
    <pivotField numFmtId="14" showAll="0">
      <items count="330">
        <item x="44"/>
        <item x="45"/>
        <item x="46"/>
        <item x="47"/>
        <item x="48"/>
        <item x="296"/>
        <item x="49"/>
        <item x="16"/>
        <item x="31"/>
        <item x="50"/>
        <item x="51"/>
        <item x="297"/>
        <item x="52"/>
        <item x="53"/>
        <item x="54"/>
        <item x="55"/>
        <item x="56"/>
        <item x="298"/>
        <item x="17"/>
        <item x="57"/>
        <item x="299"/>
        <item x="58"/>
        <item x="59"/>
        <item x="18"/>
        <item x="60"/>
        <item x="61"/>
        <item x="32"/>
        <item x="62"/>
        <item x="63"/>
        <item x="19"/>
        <item x="64"/>
        <item x="300"/>
        <item x="65"/>
        <item x="66"/>
        <item x="67"/>
        <item x="301"/>
        <item x="0"/>
        <item x="68"/>
        <item x="69"/>
        <item x="70"/>
        <item x="302"/>
        <item x="71"/>
        <item x="72"/>
        <item x="73"/>
        <item x="74"/>
        <item x="75"/>
        <item x="303"/>
        <item x="76"/>
        <item x="77"/>
        <item x="78"/>
        <item x="4"/>
        <item x="79"/>
        <item x="80"/>
        <item x="81"/>
        <item x="1"/>
        <item x="82"/>
        <item x="292"/>
        <item x="83"/>
        <item x="84"/>
        <item x="85"/>
        <item x="86"/>
        <item x="87"/>
        <item x="88"/>
        <item x="89"/>
        <item x="90"/>
        <item x="304"/>
        <item x="91"/>
        <item x="92"/>
        <item x="93"/>
        <item x="94"/>
        <item x="95"/>
        <item x="96"/>
        <item x="97"/>
        <item x="98"/>
        <item x="99"/>
        <item x="100"/>
        <item x="101"/>
        <item x="102"/>
        <item x="305"/>
        <item x="103"/>
        <item x="104"/>
        <item x="105"/>
        <item x="106"/>
        <item x="107"/>
        <item x="108"/>
        <item x="109"/>
        <item x="110"/>
        <item x="33"/>
        <item x="111"/>
        <item x="112"/>
        <item x="289"/>
        <item x="20"/>
        <item x="113"/>
        <item x="2"/>
        <item x="293"/>
        <item x="114"/>
        <item x="115"/>
        <item x="116"/>
        <item x="117"/>
        <item x="118"/>
        <item x="119"/>
        <item x="5"/>
        <item x="34"/>
        <item x="120"/>
        <item x="121"/>
        <item x="122"/>
        <item x="123"/>
        <item x="124"/>
        <item x="125"/>
        <item x="21"/>
        <item x="306"/>
        <item x="126"/>
        <item x="127"/>
        <item x="35"/>
        <item x="128"/>
        <item x="129"/>
        <item x="130"/>
        <item x="131"/>
        <item x="132"/>
        <item x="133"/>
        <item x="134"/>
        <item x="135"/>
        <item x="136"/>
        <item x="137"/>
        <item x="138"/>
        <item x="139"/>
        <item x="140"/>
        <item x="141"/>
        <item x="36"/>
        <item x="142"/>
        <item x="143"/>
        <item x="144"/>
        <item x="145"/>
        <item x="307"/>
        <item x="146"/>
        <item x="147"/>
        <item x="148"/>
        <item x="294"/>
        <item x="149"/>
        <item x="308"/>
        <item x="150"/>
        <item x="151"/>
        <item x="152"/>
        <item x="153"/>
        <item x="154"/>
        <item x="22"/>
        <item x="155"/>
        <item x="156"/>
        <item x="157"/>
        <item x="158"/>
        <item x="159"/>
        <item x="37"/>
        <item x="160"/>
        <item x="161"/>
        <item x="162"/>
        <item x="163"/>
        <item x="164"/>
        <item x="165"/>
        <item x="166"/>
        <item x="167"/>
        <item x="168"/>
        <item x="169"/>
        <item x="170"/>
        <item x="171"/>
        <item x="172"/>
        <item x="173"/>
        <item x="174"/>
        <item x="175"/>
        <item x="176"/>
        <item x="177"/>
        <item x="178"/>
        <item x="6"/>
        <item x="179"/>
        <item x="180"/>
        <item x="309"/>
        <item x="181"/>
        <item x="182"/>
        <item x="183"/>
        <item x="184"/>
        <item x="185"/>
        <item x="23"/>
        <item x="186"/>
        <item x="187"/>
        <item x="188"/>
        <item x="38"/>
        <item x="295"/>
        <item x="189"/>
        <item x="190"/>
        <item x="310"/>
        <item x="191"/>
        <item x="311"/>
        <item x="192"/>
        <item x="7"/>
        <item x="312"/>
        <item x="8"/>
        <item x="193"/>
        <item x="39"/>
        <item x="194"/>
        <item x="195"/>
        <item x="196"/>
        <item x="197"/>
        <item x="313"/>
        <item x="24"/>
        <item x="198"/>
        <item x="199"/>
        <item x="200"/>
        <item x="201"/>
        <item x="202"/>
        <item x="203"/>
        <item x="204"/>
        <item x="314"/>
        <item x="205"/>
        <item x="206"/>
        <item x="315"/>
        <item x="207"/>
        <item x="316"/>
        <item x="208"/>
        <item x="40"/>
        <item x="209"/>
        <item x="9"/>
        <item x="210"/>
        <item x="317"/>
        <item x="211"/>
        <item x="212"/>
        <item x="41"/>
        <item x="213"/>
        <item x="214"/>
        <item x="215"/>
        <item x="10"/>
        <item x="216"/>
        <item x="217"/>
        <item x="25"/>
        <item x="218"/>
        <item x="219"/>
        <item x="220"/>
        <item x="221"/>
        <item x="222"/>
        <item x="223"/>
        <item x="224"/>
        <item x="318"/>
        <item x="11"/>
        <item x="225"/>
        <item x="226"/>
        <item x="227"/>
        <item x="228"/>
        <item x="42"/>
        <item x="229"/>
        <item x="230"/>
        <item x="231"/>
        <item x="232"/>
        <item x="233"/>
        <item x="234"/>
        <item x="235"/>
        <item x="26"/>
        <item x="319"/>
        <item x="236"/>
        <item x="237"/>
        <item x="238"/>
        <item x="239"/>
        <item x="240"/>
        <item x="241"/>
        <item x="242"/>
        <item x="27"/>
        <item x="243"/>
        <item x="244"/>
        <item x="245"/>
        <item x="246"/>
        <item x="12"/>
        <item x="13"/>
        <item x="247"/>
        <item x="291"/>
        <item x="248"/>
        <item x="249"/>
        <item x="250"/>
        <item x="320"/>
        <item x="251"/>
        <item x="252"/>
        <item x="321"/>
        <item x="253"/>
        <item x="290"/>
        <item x="14"/>
        <item x="254"/>
        <item x="322"/>
        <item x="255"/>
        <item x="256"/>
        <item x="257"/>
        <item x="28"/>
        <item x="323"/>
        <item x="29"/>
        <item x="258"/>
        <item x="324"/>
        <item x="259"/>
        <item x="260"/>
        <item x="325"/>
        <item x="261"/>
        <item x="262"/>
        <item x="3"/>
        <item x="15"/>
        <item x="263"/>
        <item x="264"/>
        <item x="265"/>
        <item x="266"/>
        <item x="267"/>
        <item x="268"/>
        <item x="326"/>
        <item x="269"/>
        <item x="327"/>
        <item x="270"/>
        <item x="271"/>
        <item x="272"/>
        <item x="328"/>
        <item x="273"/>
        <item x="274"/>
        <item x="275"/>
        <item x="276"/>
        <item x="277"/>
        <item x="278"/>
        <item x="279"/>
        <item x="280"/>
        <item x="281"/>
        <item x="282"/>
        <item x="283"/>
        <item x="43"/>
        <item x="284"/>
        <item x="285"/>
        <item x="286"/>
        <item x="287"/>
        <item x="288"/>
        <item x="30"/>
        <item t="default"/>
      </items>
    </pivotField>
    <pivotField showAll="0"/>
    <pivotField showAll="0">
      <items count="11">
        <item x="1"/>
        <item x="3"/>
        <item x="7"/>
        <item x="4"/>
        <item x="2"/>
        <item x="6"/>
        <item x="9"/>
        <item x="5"/>
        <item x="0"/>
        <item x="8"/>
        <item t="default"/>
      </items>
    </pivotField>
    <pivotField showAll="0"/>
    <pivotField showAll="0"/>
    <pivotField dataField="1" showAll="0"/>
    <pivotField showAll="0"/>
    <pivotField showAll="0">
      <items count="2">
        <item x="0"/>
        <item t="default"/>
      </items>
    </pivotField>
    <pivotField axis="axisRow" showAll="0">
      <items count="13">
        <item x="8"/>
        <item x="0"/>
        <item x="1"/>
        <item x="2"/>
        <item x="9"/>
        <item x="10"/>
        <item x="4"/>
        <item x="5"/>
        <item x="6"/>
        <item x="7"/>
        <item x="3"/>
        <item x="1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4"/>
    </i>
    <i>
      <x v="5"/>
    </i>
    <i>
      <x v="2"/>
    </i>
    <i>
      <x v="10"/>
    </i>
    <i>
      <x v="11"/>
    </i>
    <i>
      <x v="6"/>
    </i>
    <i>
      <x v="8"/>
    </i>
    <i>
      <x v="1"/>
    </i>
    <i>
      <x v="9"/>
    </i>
    <i>
      <x/>
    </i>
    <i>
      <x v="7"/>
    </i>
    <i>
      <x v="3"/>
    </i>
    <i t="grand">
      <x/>
    </i>
  </rowItems>
  <colItems count="1">
    <i/>
  </colItems>
  <dataFields count="1">
    <dataField name="Total Revenue " fld="5" baseField="8" baseItem="4" numFmtId="166"/>
  </dataFields>
  <conditionalFormats count="1">
    <conditionalFormat priority="3">
      <pivotAreas count="1">
        <pivotArea fieldPosition="0">
          <references count="1">
            <reference field="8" count="1">
              <x v="4"/>
            </reference>
          </references>
        </pivotArea>
      </pivotAreas>
    </conditionalFormat>
  </conditionalFormats>
  <pivotTableStyleInfo name="PivotStyleDark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A45FB0-4D11-41C6-BF9B-6D334BEF0A14}"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numFmtId="14" showAll="0">
      <items count="330">
        <item x="44"/>
        <item x="45"/>
        <item x="46"/>
        <item x="47"/>
        <item x="48"/>
        <item x="296"/>
        <item x="49"/>
        <item x="16"/>
        <item x="31"/>
        <item x="50"/>
        <item x="51"/>
        <item x="297"/>
        <item x="52"/>
        <item x="53"/>
        <item x="54"/>
        <item x="55"/>
        <item x="56"/>
        <item x="298"/>
        <item x="17"/>
        <item x="57"/>
        <item x="299"/>
        <item x="58"/>
        <item x="59"/>
        <item x="18"/>
        <item x="60"/>
        <item x="61"/>
        <item x="32"/>
        <item x="62"/>
        <item x="63"/>
        <item x="19"/>
        <item x="64"/>
        <item x="300"/>
        <item x="65"/>
        <item x="66"/>
        <item x="67"/>
        <item x="301"/>
        <item x="0"/>
        <item x="68"/>
        <item x="69"/>
        <item x="70"/>
        <item x="302"/>
        <item x="71"/>
        <item x="72"/>
        <item x="73"/>
        <item x="74"/>
        <item x="75"/>
        <item x="303"/>
        <item x="76"/>
        <item x="77"/>
        <item x="78"/>
        <item x="4"/>
        <item x="79"/>
        <item x="80"/>
        <item x="81"/>
        <item x="1"/>
        <item x="82"/>
        <item x="292"/>
        <item x="83"/>
        <item x="84"/>
        <item x="85"/>
        <item x="86"/>
        <item x="87"/>
        <item x="88"/>
        <item x="89"/>
        <item x="90"/>
        <item x="304"/>
        <item x="91"/>
        <item x="92"/>
        <item x="93"/>
        <item x="94"/>
        <item x="95"/>
        <item x="96"/>
        <item x="97"/>
        <item x="98"/>
        <item x="99"/>
        <item x="100"/>
        <item x="101"/>
        <item x="102"/>
        <item x="305"/>
        <item x="103"/>
        <item x="104"/>
        <item x="105"/>
        <item x="106"/>
        <item x="107"/>
        <item x="108"/>
        <item x="109"/>
        <item x="110"/>
        <item x="33"/>
        <item x="111"/>
        <item x="112"/>
        <item x="289"/>
        <item x="20"/>
        <item x="113"/>
        <item x="2"/>
        <item x="293"/>
        <item x="114"/>
        <item x="115"/>
        <item x="116"/>
        <item x="117"/>
        <item x="118"/>
        <item x="119"/>
        <item x="5"/>
        <item x="34"/>
        <item x="120"/>
        <item x="121"/>
        <item x="122"/>
        <item x="123"/>
        <item x="124"/>
        <item x="125"/>
        <item x="21"/>
        <item x="306"/>
        <item x="126"/>
        <item x="127"/>
        <item x="35"/>
        <item x="128"/>
        <item x="129"/>
        <item x="130"/>
        <item x="131"/>
        <item x="132"/>
        <item x="133"/>
        <item x="134"/>
        <item x="135"/>
        <item x="136"/>
        <item x="137"/>
        <item x="138"/>
        <item x="139"/>
        <item x="140"/>
        <item x="141"/>
        <item x="36"/>
        <item x="142"/>
        <item x="143"/>
        <item x="144"/>
        <item x="145"/>
        <item x="307"/>
        <item x="146"/>
        <item x="147"/>
        <item x="148"/>
        <item x="294"/>
        <item x="149"/>
        <item x="308"/>
        <item x="150"/>
        <item x="151"/>
        <item x="152"/>
        <item x="153"/>
        <item x="154"/>
        <item x="22"/>
        <item x="155"/>
        <item x="156"/>
        <item x="157"/>
        <item x="158"/>
        <item x="159"/>
        <item x="37"/>
        <item x="160"/>
        <item x="161"/>
        <item x="162"/>
        <item x="163"/>
        <item x="164"/>
        <item x="165"/>
        <item x="166"/>
        <item x="167"/>
        <item x="168"/>
        <item x="169"/>
        <item x="170"/>
        <item x="171"/>
        <item x="172"/>
        <item x="173"/>
        <item x="174"/>
        <item x="175"/>
        <item x="176"/>
        <item x="177"/>
        <item x="178"/>
        <item x="6"/>
        <item x="179"/>
        <item x="180"/>
        <item x="309"/>
        <item x="181"/>
        <item x="182"/>
        <item x="183"/>
        <item x="184"/>
        <item x="185"/>
        <item x="23"/>
        <item x="186"/>
        <item x="187"/>
        <item x="188"/>
        <item x="38"/>
        <item x="295"/>
        <item x="189"/>
        <item x="190"/>
        <item x="310"/>
        <item x="191"/>
        <item x="311"/>
        <item x="192"/>
        <item x="7"/>
        <item x="312"/>
        <item x="8"/>
        <item x="193"/>
        <item x="39"/>
        <item x="194"/>
        <item x="195"/>
        <item x="196"/>
        <item x="197"/>
        <item x="313"/>
        <item x="24"/>
        <item x="198"/>
        <item x="199"/>
        <item x="200"/>
        <item x="201"/>
        <item x="202"/>
        <item x="203"/>
        <item x="204"/>
        <item x="314"/>
        <item x="205"/>
        <item x="206"/>
        <item x="315"/>
        <item x="207"/>
        <item x="316"/>
        <item x="208"/>
        <item x="40"/>
        <item x="209"/>
        <item x="9"/>
        <item x="210"/>
        <item x="317"/>
        <item x="211"/>
        <item x="212"/>
        <item x="41"/>
        <item x="213"/>
        <item x="214"/>
        <item x="215"/>
        <item x="10"/>
        <item x="216"/>
        <item x="217"/>
        <item x="25"/>
        <item x="218"/>
        <item x="219"/>
        <item x="220"/>
        <item x="221"/>
        <item x="222"/>
        <item x="223"/>
        <item x="224"/>
        <item x="318"/>
        <item x="11"/>
        <item x="225"/>
        <item x="226"/>
        <item x="227"/>
        <item x="228"/>
        <item x="42"/>
        <item x="229"/>
        <item x="230"/>
        <item x="231"/>
        <item x="232"/>
        <item x="233"/>
        <item x="234"/>
        <item x="235"/>
        <item x="26"/>
        <item x="319"/>
        <item x="236"/>
        <item x="237"/>
        <item x="238"/>
        <item x="239"/>
        <item x="240"/>
        <item x="241"/>
        <item x="242"/>
        <item x="27"/>
        <item x="243"/>
        <item x="244"/>
        <item x="245"/>
        <item x="246"/>
        <item x="12"/>
        <item x="13"/>
        <item x="247"/>
        <item x="291"/>
        <item x="248"/>
        <item x="249"/>
        <item x="250"/>
        <item x="320"/>
        <item x="251"/>
        <item x="252"/>
        <item x="321"/>
        <item x="253"/>
        <item x="290"/>
        <item x="14"/>
        <item x="254"/>
        <item x="322"/>
        <item x="255"/>
        <item x="256"/>
        <item x="257"/>
        <item x="28"/>
        <item x="323"/>
        <item x="29"/>
        <item x="258"/>
        <item x="324"/>
        <item x="259"/>
        <item x="260"/>
        <item x="325"/>
        <item x="261"/>
        <item x="262"/>
        <item x="3"/>
        <item x="15"/>
        <item x="263"/>
        <item x="264"/>
        <item x="265"/>
        <item x="266"/>
        <item x="267"/>
        <item x="268"/>
        <item x="326"/>
        <item x="269"/>
        <item x="327"/>
        <item x="270"/>
        <item x="271"/>
        <item x="272"/>
        <item x="328"/>
        <item x="273"/>
        <item x="274"/>
        <item x="275"/>
        <item x="276"/>
        <item x="277"/>
        <item x="278"/>
        <item x="279"/>
        <item x="280"/>
        <item x="281"/>
        <item x="282"/>
        <item x="283"/>
        <item x="43"/>
        <item x="284"/>
        <item x="285"/>
        <item x="286"/>
        <item x="287"/>
        <item x="288"/>
        <item x="30"/>
        <item t="default"/>
      </items>
    </pivotField>
    <pivotField showAll="0"/>
    <pivotField showAll="0"/>
    <pivotField showAll="0"/>
    <pivotField showAll="0"/>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Revenue Generated" fld="5" baseField="0" baseItem="0" numFmtId="167"/>
  </dataFields>
  <formats count="3">
    <format dxfId="56">
      <pivotArea type="all" dataOnly="0" outline="0" fieldPosition="0"/>
    </format>
    <format dxfId="55">
      <pivotArea dataOnly="0" labelOnly="1" outline="0" axis="axisValues" fieldPosition="0"/>
    </format>
    <format dxfId="54">
      <pivotArea outline="0" collapsedLevelsAreSubtotals="1" fieldPosition="0"/>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93E0D6-F124-45E3-8F78-3999BF80A6E5}"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A7:B18" firstHeaderRow="1" firstDataRow="1" firstDataCol="1"/>
  <pivotFields count="12">
    <pivotField numFmtId="14" showAll="0">
      <items count="330">
        <item x="44"/>
        <item x="45"/>
        <item x="46"/>
        <item x="47"/>
        <item x="48"/>
        <item x="296"/>
        <item x="49"/>
        <item x="16"/>
        <item x="31"/>
        <item x="50"/>
        <item x="51"/>
        <item x="297"/>
        <item x="52"/>
        <item x="53"/>
        <item x="54"/>
        <item x="55"/>
        <item x="56"/>
        <item x="298"/>
        <item x="17"/>
        <item x="57"/>
        <item x="299"/>
        <item x="58"/>
        <item x="59"/>
        <item x="18"/>
        <item x="60"/>
        <item x="61"/>
        <item x="32"/>
        <item x="62"/>
        <item x="63"/>
        <item x="19"/>
        <item x="64"/>
        <item x="300"/>
        <item x="65"/>
        <item x="66"/>
        <item x="67"/>
        <item x="301"/>
        <item x="0"/>
        <item x="68"/>
        <item x="69"/>
        <item x="70"/>
        <item x="302"/>
        <item x="71"/>
        <item x="72"/>
        <item x="73"/>
        <item x="74"/>
        <item x="75"/>
        <item x="303"/>
        <item x="76"/>
        <item x="77"/>
        <item x="78"/>
        <item x="4"/>
        <item x="79"/>
        <item x="80"/>
        <item x="81"/>
        <item x="1"/>
        <item x="82"/>
        <item x="292"/>
        <item x="83"/>
        <item x="84"/>
        <item x="85"/>
        <item x="86"/>
        <item x="87"/>
        <item x="88"/>
        <item x="89"/>
        <item x="90"/>
        <item x="304"/>
        <item x="91"/>
        <item x="92"/>
        <item x="93"/>
        <item x="94"/>
        <item x="95"/>
        <item x="96"/>
        <item x="97"/>
        <item x="98"/>
        <item x="99"/>
        <item x="100"/>
        <item x="101"/>
        <item x="102"/>
        <item x="305"/>
        <item x="103"/>
        <item x="104"/>
        <item x="105"/>
        <item x="106"/>
        <item x="107"/>
        <item x="108"/>
        <item x="109"/>
        <item x="110"/>
        <item x="33"/>
        <item x="111"/>
        <item x="112"/>
        <item x="289"/>
        <item x="20"/>
        <item x="113"/>
        <item x="2"/>
        <item x="293"/>
        <item x="114"/>
        <item x="115"/>
        <item x="116"/>
        <item x="117"/>
        <item x="118"/>
        <item x="119"/>
        <item x="5"/>
        <item x="34"/>
        <item x="120"/>
        <item x="121"/>
        <item x="122"/>
        <item x="123"/>
        <item x="124"/>
        <item x="125"/>
        <item x="21"/>
        <item x="306"/>
        <item x="126"/>
        <item x="127"/>
        <item x="35"/>
        <item x="128"/>
        <item x="129"/>
        <item x="130"/>
        <item x="131"/>
        <item x="132"/>
        <item x="133"/>
        <item x="134"/>
        <item x="135"/>
        <item x="136"/>
        <item x="137"/>
        <item x="138"/>
        <item x="139"/>
        <item x="140"/>
        <item x="141"/>
        <item x="36"/>
        <item x="142"/>
        <item x="143"/>
        <item x="144"/>
        <item x="145"/>
        <item x="307"/>
        <item x="146"/>
        <item x="147"/>
        <item x="148"/>
        <item x="294"/>
        <item x="149"/>
        <item x="308"/>
        <item x="150"/>
        <item x="151"/>
        <item x="152"/>
        <item x="153"/>
        <item x="154"/>
        <item x="22"/>
        <item x="155"/>
        <item x="156"/>
        <item x="157"/>
        <item x="158"/>
        <item x="159"/>
        <item x="37"/>
        <item x="160"/>
        <item x="161"/>
        <item x="162"/>
        <item x="163"/>
        <item x="164"/>
        <item x="165"/>
        <item x="166"/>
        <item x="167"/>
        <item x="168"/>
        <item x="169"/>
        <item x="170"/>
        <item x="171"/>
        <item x="172"/>
        <item x="173"/>
        <item x="174"/>
        <item x="175"/>
        <item x="176"/>
        <item x="177"/>
        <item x="178"/>
        <item x="6"/>
        <item x="179"/>
        <item x="180"/>
        <item x="309"/>
        <item x="181"/>
        <item x="182"/>
        <item x="183"/>
        <item x="184"/>
        <item x="185"/>
        <item x="23"/>
        <item x="186"/>
        <item x="187"/>
        <item x="188"/>
        <item x="38"/>
        <item x="295"/>
        <item x="189"/>
        <item x="190"/>
        <item x="310"/>
        <item x="191"/>
        <item x="311"/>
        <item x="192"/>
        <item x="7"/>
        <item x="312"/>
        <item x="8"/>
        <item x="193"/>
        <item x="39"/>
        <item x="194"/>
        <item x="195"/>
        <item x="196"/>
        <item x="197"/>
        <item x="313"/>
        <item x="24"/>
        <item x="198"/>
        <item x="199"/>
        <item x="200"/>
        <item x="201"/>
        <item x="202"/>
        <item x="203"/>
        <item x="204"/>
        <item x="314"/>
        <item x="205"/>
        <item x="206"/>
        <item x="315"/>
        <item x="207"/>
        <item x="316"/>
        <item x="208"/>
        <item x="40"/>
        <item x="209"/>
        <item x="9"/>
        <item x="210"/>
        <item x="317"/>
        <item x="211"/>
        <item x="212"/>
        <item x="41"/>
        <item x="213"/>
        <item x="214"/>
        <item x="215"/>
        <item x="10"/>
        <item x="216"/>
        <item x="217"/>
        <item x="25"/>
        <item x="218"/>
        <item x="219"/>
        <item x="220"/>
        <item x="221"/>
        <item x="222"/>
        <item x="223"/>
        <item x="224"/>
        <item x="318"/>
        <item x="11"/>
        <item x="225"/>
        <item x="226"/>
        <item x="227"/>
        <item x="228"/>
        <item x="42"/>
        <item x="229"/>
        <item x="230"/>
        <item x="231"/>
        <item x="232"/>
        <item x="233"/>
        <item x="234"/>
        <item x="235"/>
        <item x="26"/>
        <item x="319"/>
        <item x="236"/>
        <item x="237"/>
        <item x="238"/>
        <item x="239"/>
        <item x="240"/>
        <item x="241"/>
        <item x="242"/>
        <item x="27"/>
        <item x="243"/>
        <item x="244"/>
        <item x="245"/>
        <item x="246"/>
        <item x="12"/>
        <item x="13"/>
        <item x="247"/>
        <item x="291"/>
        <item x="248"/>
        <item x="249"/>
        <item x="250"/>
        <item x="320"/>
        <item x="251"/>
        <item x="252"/>
        <item x="321"/>
        <item x="253"/>
        <item x="290"/>
        <item x="14"/>
        <item x="254"/>
        <item x="322"/>
        <item x="255"/>
        <item x="256"/>
        <item x="257"/>
        <item x="28"/>
        <item x="323"/>
        <item x="29"/>
        <item x="258"/>
        <item x="324"/>
        <item x="259"/>
        <item x="260"/>
        <item x="325"/>
        <item x="261"/>
        <item x="262"/>
        <item x="3"/>
        <item x="15"/>
        <item x="263"/>
        <item x="264"/>
        <item x="265"/>
        <item x="266"/>
        <item x="267"/>
        <item x="268"/>
        <item x="326"/>
        <item x="269"/>
        <item x="327"/>
        <item x="270"/>
        <item x="271"/>
        <item x="272"/>
        <item x="328"/>
        <item x="273"/>
        <item x="274"/>
        <item x="275"/>
        <item x="276"/>
        <item x="277"/>
        <item x="278"/>
        <item x="279"/>
        <item x="280"/>
        <item x="281"/>
        <item x="282"/>
        <item x="283"/>
        <item x="43"/>
        <item x="284"/>
        <item x="285"/>
        <item x="286"/>
        <item x="287"/>
        <item x="288"/>
        <item x="30"/>
        <item t="default"/>
      </items>
    </pivotField>
    <pivotField showAll="0"/>
    <pivotField axis="axisRow" showAll="0" sortType="descending">
      <items count="11">
        <item x="1"/>
        <item x="3"/>
        <item x="7"/>
        <item x="4"/>
        <item x="2"/>
        <item x="6"/>
        <item x="9"/>
        <item x="5"/>
        <item x="0"/>
        <item x="8"/>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v="5"/>
    </i>
    <i>
      <x v="4"/>
    </i>
    <i>
      <x v="9"/>
    </i>
    <i>
      <x v="7"/>
    </i>
    <i>
      <x v="3"/>
    </i>
    <i>
      <x v="6"/>
    </i>
    <i>
      <x v="8"/>
    </i>
    <i>
      <x v="2"/>
    </i>
    <i>
      <x v="1"/>
    </i>
    <i>
      <x/>
    </i>
    <i t="grand">
      <x/>
    </i>
  </rowItems>
  <colItems count="1">
    <i/>
  </colItems>
  <dataFields count="1">
    <dataField name="Total Quantity Sold" fld="3" baseField="2" baseItem="5"/>
  </dataFields>
  <conditionalFormats count="1">
    <conditionalFormat priority="7">
      <pivotAreas count="1">
        <pivotArea fieldPosition="0">
          <references count="1">
            <reference field="2" count="1">
              <x v="5"/>
            </reference>
          </references>
        </pivotArea>
      </pivotAreas>
    </conditionalFormat>
  </conditionalFormats>
  <pivotTableStyleInfo name="PivotStyleDark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74A5C5-BE78-4A58-9ED9-2830D74FD7CB}"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ore Location">
  <location ref="G7:H14" firstHeaderRow="1" firstDataRow="1" firstDataCol="1"/>
  <pivotFields count="12">
    <pivotField numFmtId="14" showAll="0">
      <items count="330">
        <item x="44"/>
        <item x="45"/>
        <item x="46"/>
        <item x="47"/>
        <item x="48"/>
        <item x="296"/>
        <item x="49"/>
        <item x="16"/>
        <item x="31"/>
        <item x="50"/>
        <item x="51"/>
        <item x="297"/>
        <item x="52"/>
        <item x="53"/>
        <item x="54"/>
        <item x="55"/>
        <item x="56"/>
        <item x="298"/>
        <item x="17"/>
        <item x="57"/>
        <item x="299"/>
        <item x="58"/>
        <item x="59"/>
        <item x="18"/>
        <item x="60"/>
        <item x="61"/>
        <item x="32"/>
        <item x="62"/>
        <item x="63"/>
        <item x="19"/>
        <item x="64"/>
        <item x="300"/>
        <item x="65"/>
        <item x="66"/>
        <item x="67"/>
        <item x="301"/>
        <item x="0"/>
        <item x="68"/>
        <item x="69"/>
        <item x="70"/>
        <item x="302"/>
        <item x="71"/>
        <item x="72"/>
        <item x="73"/>
        <item x="74"/>
        <item x="75"/>
        <item x="303"/>
        <item x="76"/>
        <item x="77"/>
        <item x="78"/>
        <item x="4"/>
        <item x="79"/>
        <item x="80"/>
        <item x="81"/>
        <item x="1"/>
        <item x="82"/>
        <item x="292"/>
        <item x="83"/>
        <item x="84"/>
        <item x="85"/>
        <item x="86"/>
        <item x="87"/>
        <item x="88"/>
        <item x="89"/>
        <item x="90"/>
        <item x="304"/>
        <item x="91"/>
        <item x="92"/>
        <item x="93"/>
        <item x="94"/>
        <item x="95"/>
        <item x="96"/>
        <item x="97"/>
        <item x="98"/>
        <item x="99"/>
        <item x="100"/>
        <item x="101"/>
        <item x="102"/>
        <item x="305"/>
        <item x="103"/>
        <item x="104"/>
        <item x="105"/>
        <item x="106"/>
        <item x="107"/>
        <item x="108"/>
        <item x="109"/>
        <item x="110"/>
        <item x="33"/>
        <item x="111"/>
        <item x="112"/>
        <item x="289"/>
        <item x="20"/>
        <item x="113"/>
        <item x="2"/>
        <item x="293"/>
        <item x="114"/>
        <item x="115"/>
        <item x="116"/>
        <item x="117"/>
        <item x="118"/>
        <item x="119"/>
        <item x="5"/>
        <item x="34"/>
        <item x="120"/>
        <item x="121"/>
        <item x="122"/>
        <item x="123"/>
        <item x="124"/>
        <item x="125"/>
        <item x="21"/>
        <item x="306"/>
        <item x="126"/>
        <item x="127"/>
        <item x="35"/>
        <item x="128"/>
        <item x="129"/>
        <item x="130"/>
        <item x="131"/>
        <item x="132"/>
        <item x="133"/>
        <item x="134"/>
        <item x="135"/>
        <item x="136"/>
        <item x="137"/>
        <item x="138"/>
        <item x="139"/>
        <item x="140"/>
        <item x="141"/>
        <item x="36"/>
        <item x="142"/>
        <item x="143"/>
        <item x="144"/>
        <item x="145"/>
        <item x="307"/>
        <item x="146"/>
        <item x="147"/>
        <item x="148"/>
        <item x="294"/>
        <item x="149"/>
        <item x="308"/>
        <item x="150"/>
        <item x="151"/>
        <item x="152"/>
        <item x="153"/>
        <item x="154"/>
        <item x="22"/>
        <item x="155"/>
        <item x="156"/>
        <item x="157"/>
        <item x="158"/>
        <item x="159"/>
        <item x="37"/>
        <item x="160"/>
        <item x="161"/>
        <item x="162"/>
        <item x="163"/>
        <item x="164"/>
        <item x="165"/>
        <item x="166"/>
        <item x="167"/>
        <item x="168"/>
        <item x="169"/>
        <item x="170"/>
        <item x="171"/>
        <item x="172"/>
        <item x="173"/>
        <item x="174"/>
        <item x="175"/>
        <item x="176"/>
        <item x="177"/>
        <item x="178"/>
        <item x="6"/>
        <item x="179"/>
        <item x="180"/>
        <item x="309"/>
        <item x="181"/>
        <item x="182"/>
        <item x="183"/>
        <item x="184"/>
        <item x="185"/>
        <item x="23"/>
        <item x="186"/>
        <item x="187"/>
        <item x="188"/>
        <item x="38"/>
        <item x="295"/>
        <item x="189"/>
        <item x="190"/>
        <item x="310"/>
        <item x="191"/>
        <item x="311"/>
        <item x="192"/>
        <item x="7"/>
        <item x="312"/>
        <item x="8"/>
        <item x="193"/>
        <item x="39"/>
        <item x="194"/>
        <item x="195"/>
        <item x="196"/>
        <item x="197"/>
        <item x="313"/>
        <item x="24"/>
        <item x="198"/>
        <item x="199"/>
        <item x="200"/>
        <item x="201"/>
        <item x="202"/>
        <item x="203"/>
        <item x="204"/>
        <item x="314"/>
        <item x="205"/>
        <item x="206"/>
        <item x="315"/>
        <item x="207"/>
        <item x="316"/>
        <item x="208"/>
        <item x="40"/>
        <item x="209"/>
        <item x="9"/>
        <item x="210"/>
        <item x="317"/>
        <item x="211"/>
        <item x="212"/>
        <item x="41"/>
        <item x="213"/>
        <item x="214"/>
        <item x="215"/>
        <item x="10"/>
        <item x="216"/>
        <item x="217"/>
        <item x="25"/>
        <item x="218"/>
        <item x="219"/>
        <item x="220"/>
        <item x="221"/>
        <item x="222"/>
        <item x="223"/>
        <item x="224"/>
        <item x="318"/>
        <item x="11"/>
        <item x="225"/>
        <item x="226"/>
        <item x="227"/>
        <item x="228"/>
        <item x="42"/>
        <item x="229"/>
        <item x="230"/>
        <item x="231"/>
        <item x="232"/>
        <item x="233"/>
        <item x="234"/>
        <item x="235"/>
        <item x="26"/>
        <item x="319"/>
        <item x="236"/>
        <item x="237"/>
        <item x="238"/>
        <item x="239"/>
        <item x="240"/>
        <item x="241"/>
        <item x="242"/>
        <item x="27"/>
        <item x="243"/>
        <item x="244"/>
        <item x="245"/>
        <item x="246"/>
        <item x="12"/>
        <item x="13"/>
        <item x="247"/>
        <item x="291"/>
        <item x="248"/>
        <item x="249"/>
        <item x="250"/>
        <item x="320"/>
        <item x="251"/>
        <item x="252"/>
        <item x="321"/>
        <item x="253"/>
        <item x="290"/>
        <item x="14"/>
        <item x="254"/>
        <item x="322"/>
        <item x="255"/>
        <item x="256"/>
        <item x="257"/>
        <item x="28"/>
        <item x="323"/>
        <item x="29"/>
        <item x="258"/>
        <item x="324"/>
        <item x="259"/>
        <item x="260"/>
        <item x="325"/>
        <item x="261"/>
        <item x="262"/>
        <item x="3"/>
        <item x="15"/>
        <item x="263"/>
        <item x="264"/>
        <item x="265"/>
        <item x="266"/>
        <item x="267"/>
        <item x="268"/>
        <item x="326"/>
        <item x="269"/>
        <item x="327"/>
        <item x="270"/>
        <item x="271"/>
        <item x="272"/>
        <item x="328"/>
        <item x="273"/>
        <item x="274"/>
        <item x="275"/>
        <item x="276"/>
        <item x="277"/>
        <item x="278"/>
        <item x="279"/>
        <item x="280"/>
        <item x="281"/>
        <item x="282"/>
        <item x="283"/>
        <item x="43"/>
        <item x="284"/>
        <item x="285"/>
        <item x="286"/>
        <item x="287"/>
        <item x="288"/>
        <item x="30"/>
        <item t="default"/>
      </items>
    </pivotField>
    <pivotField showAll="0"/>
    <pivotField showAll="0">
      <items count="11">
        <item x="1"/>
        <item x="3"/>
        <item x="7"/>
        <item x="4"/>
        <item x="2"/>
        <item x="6"/>
        <item x="9"/>
        <item x="5"/>
        <item x="0"/>
        <item x="8"/>
        <item t="default"/>
      </items>
    </pivotField>
    <pivotField showAll="0"/>
    <pivotField showAll="0"/>
    <pivotField dataField="1" showAll="0"/>
    <pivotField axis="axisRow" showAll="0" sortType="descending">
      <items count="7">
        <item x="2"/>
        <item x="5"/>
        <item x="3"/>
        <item x="1"/>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i>
    <i>
      <x v="3"/>
    </i>
    <i>
      <x v="5"/>
    </i>
    <i>
      <x v="4"/>
    </i>
    <i t="grand">
      <x/>
    </i>
  </rowItems>
  <colItems count="1">
    <i/>
  </colItems>
  <dataFields count="1">
    <dataField name="Total Revenue " fld="5" baseField="6" baseItem="1" numFmtId="166"/>
  </dataFields>
  <conditionalFormats count="1">
    <conditionalFormat priority="5">
      <pivotAreas count="1">
        <pivotArea fieldPosition="0">
          <references count="1">
            <reference field="6" count="1">
              <x v="1"/>
            </reference>
          </references>
        </pivotArea>
      </pivotAreas>
    </conditionalFormat>
  </conditionalFormats>
  <pivotTableStyleInfo name="PivotStyleDark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0A25D0-E605-495B-AA41-17D9B2FCAC6A}" name="store by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8:B25" firstHeaderRow="1" firstDataRow="1" firstDataCol="1"/>
  <pivotFields count="12">
    <pivotField numFmtId="14" showAll="0">
      <items count="330">
        <item x="44"/>
        <item x="45"/>
        <item x="46"/>
        <item x="47"/>
        <item x="48"/>
        <item x="296"/>
        <item x="49"/>
        <item x="16"/>
        <item x="31"/>
        <item x="50"/>
        <item x="51"/>
        <item x="297"/>
        <item x="52"/>
        <item x="53"/>
        <item x="54"/>
        <item x="55"/>
        <item x="56"/>
        <item x="298"/>
        <item x="17"/>
        <item x="57"/>
        <item x="299"/>
        <item x="58"/>
        <item x="59"/>
        <item x="18"/>
        <item x="60"/>
        <item x="61"/>
        <item x="32"/>
        <item x="62"/>
        <item x="63"/>
        <item x="19"/>
        <item x="64"/>
        <item x="300"/>
        <item x="65"/>
        <item x="66"/>
        <item x="67"/>
        <item x="301"/>
        <item x="0"/>
        <item x="68"/>
        <item x="69"/>
        <item x="70"/>
        <item x="302"/>
        <item x="71"/>
        <item x="72"/>
        <item x="73"/>
        <item x="74"/>
        <item x="75"/>
        <item x="303"/>
        <item x="76"/>
        <item x="77"/>
        <item x="78"/>
        <item x="4"/>
        <item x="79"/>
        <item x="80"/>
        <item x="81"/>
        <item x="1"/>
        <item x="82"/>
        <item x="292"/>
        <item x="83"/>
        <item x="84"/>
        <item x="85"/>
        <item x="86"/>
        <item x="87"/>
        <item x="88"/>
        <item x="89"/>
        <item x="90"/>
        <item x="304"/>
        <item x="91"/>
        <item x="92"/>
        <item x="93"/>
        <item x="94"/>
        <item x="95"/>
        <item x="96"/>
        <item x="97"/>
        <item x="98"/>
        <item x="99"/>
        <item x="100"/>
        <item x="101"/>
        <item x="102"/>
        <item x="305"/>
        <item x="103"/>
        <item x="104"/>
        <item x="105"/>
        <item x="106"/>
        <item x="107"/>
        <item x="108"/>
        <item x="109"/>
        <item x="110"/>
        <item x="33"/>
        <item x="111"/>
        <item x="112"/>
        <item x="289"/>
        <item x="20"/>
        <item x="113"/>
        <item x="2"/>
        <item x="293"/>
        <item x="114"/>
        <item x="115"/>
        <item x="116"/>
        <item x="117"/>
        <item x="118"/>
        <item x="119"/>
        <item x="5"/>
        <item x="34"/>
        <item x="120"/>
        <item x="121"/>
        <item x="122"/>
        <item x="123"/>
        <item x="124"/>
        <item x="125"/>
        <item x="21"/>
        <item x="306"/>
        <item x="126"/>
        <item x="127"/>
        <item x="35"/>
        <item x="128"/>
        <item x="129"/>
        <item x="130"/>
        <item x="131"/>
        <item x="132"/>
        <item x="133"/>
        <item x="134"/>
        <item x="135"/>
        <item x="136"/>
        <item x="137"/>
        <item x="138"/>
        <item x="139"/>
        <item x="140"/>
        <item x="141"/>
        <item x="36"/>
        <item x="142"/>
        <item x="143"/>
        <item x="144"/>
        <item x="145"/>
        <item x="307"/>
        <item x="146"/>
        <item x="147"/>
        <item x="148"/>
        <item x="294"/>
        <item x="149"/>
        <item x="308"/>
        <item x="150"/>
        <item x="151"/>
        <item x="152"/>
        <item x="153"/>
        <item x="154"/>
        <item x="22"/>
        <item x="155"/>
        <item x="156"/>
        <item x="157"/>
        <item x="158"/>
        <item x="159"/>
        <item x="37"/>
        <item x="160"/>
        <item x="161"/>
        <item x="162"/>
        <item x="163"/>
        <item x="164"/>
        <item x="165"/>
        <item x="166"/>
        <item x="167"/>
        <item x="168"/>
        <item x="169"/>
        <item x="170"/>
        <item x="171"/>
        <item x="172"/>
        <item x="173"/>
        <item x="174"/>
        <item x="175"/>
        <item x="176"/>
        <item x="177"/>
        <item x="178"/>
        <item x="6"/>
        <item x="179"/>
        <item x="180"/>
        <item x="309"/>
        <item x="181"/>
        <item x="182"/>
        <item x="183"/>
        <item x="184"/>
        <item x="185"/>
        <item x="23"/>
        <item x="186"/>
        <item x="187"/>
        <item x="188"/>
        <item x="38"/>
        <item x="295"/>
        <item x="189"/>
        <item x="190"/>
        <item x="310"/>
        <item x="191"/>
        <item x="311"/>
        <item x="192"/>
        <item x="7"/>
        <item x="312"/>
        <item x="8"/>
        <item x="193"/>
        <item x="39"/>
        <item x="194"/>
        <item x="195"/>
        <item x="196"/>
        <item x="197"/>
        <item x="313"/>
        <item x="24"/>
        <item x="198"/>
        <item x="199"/>
        <item x="200"/>
        <item x="201"/>
        <item x="202"/>
        <item x="203"/>
        <item x="204"/>
        <item x="314"/>
        <item x="205"/>
        <item x="206"/>
        <item x="315"/>
        <item x="207"/>
        <item x="316"/>
        <item x="208"/>
        <item x="40"/>
        <item x="209"/>
        <item x="9"/>
        <item x="210"/>
        <item x="317"/>
        <item x="211"/>
        <item x="212"/>
        <item x="41"/>
        <item x="213"/>
        <item x="214"/>
        <item x="215"/>
        <item x="10"/>
        <item x="216"/>
        <item x="217"/>
        <item x="25"/>
        <item x="218"/>
        <item x="219"/>
        <item x="220"/>
        <item x="221"/>
        <item x="222"/>
        <item x="223"/>
        <item x="224"/>
        <item x="318"/>
        <item x="11"/>
        <item x="225"/>
        <item x="226"/>
        <item x="227"/>
        <item x="228"/>
        <item x="42"/>
        <item x="229"/>
        <item x="230"/>
        <item x="231"/>
        <item x="232"/>
        <item x="233"/>
        <item x="234"/>
        <item x="235"/>
        <item x="26"/>
        <item x="319"/>
        <item x="236"/>
        <item x="237"/>
        <item x="238"/>
        <item x="239"/>
        <item x="240"/>
        <item x="241"/>
        <item x="242"/>
        <item x="27"/>
        <item x="243"/>
        <item x="244"/>
        <item x="245"/>
        <item x="246"/>
        <item x="12"/>
        <item x="13"/>
        <item x="247"/>
        <item x="291"/>
        <item x="248"/>
        <item x="249"/>
        <item x="250"/>
        <item x="320"/>
        <item x="251"/>
        <item x="252"/>
        <item x="321"/>
        <item x="253"/>
        <item x="290"/>
        <item x="14"/>
        <item x="254"/>
        <item x="322"/>
        <item x="255"/>
        <item x="256"/>
        <item x="257"/>
        <item x="28"/>
        <item x="323"/>
        <item x="29"/>
        <item x="258"/>
        <item x="324"/>
        <item x="259"/>
        <item x="260"/>
        <item x="325"/>
        <item x="261"/>
        <item x="262"/>
        <item x="3"/>
        <item x="15"/>
        <item x="263"/>
        <item x="264"/>
        <item x="265"/>
        <item x="266"/>
        <item x="267"/>
        <item x="268"/>
        <item x="326"/>
        <item x="269"/>
        <item x="327"/>
        <item x="270"/>
        <item x="271"/>
        <item x="272"/>
        <item x="328"/>
        <item x="273"/>
        <item x="274"/>
        <item x="275"/>
        <item x="276"/>
        <item x="277"/>
        <item x="278"/>
        <item x="279"/>
        <item x="280"/>
        <item x="281"/>
        <item x="282"/>
        <item x="283"/>
        <item x="43"/>
        <item x="284"/>
        <item x="285"/>
        <item x="286"/>
        <item x="287"/>
        <item x="288"/>
        <item x="30"/>
        <item t="default"/>
      </items>
    </pivotField>
    <pivotField showAll="0"/>
    <pivotField showAll="0">
      <items count="11">
        <item x="1"/>
        <item x="3"/>
        <item x="7"/>
        <item x="4"/>
        <item x="2"/>
        <item x="6"/>
        <item x="9"/>
        <item x="5"/>
        <item x="0"/>
        <item x="8"/>
        <item t="default"/>
      </items>
    </pivotField>
    <pivotField showAll="0"/>
    <pivotField showAll="0"/>
    <pivotField dataField="1" showAll="0"/>
    <pivotField axis="axisRow" showAll="0">
      <items count="7">
        <item x="2"/>
        <item x="5"/>
        <item x="3"/>
        <item x="1"/>
        <item x="4"/>
        <item x="0"/>
        <item t="default"/>
      </items>
    </pivotField>
    <pivotField showAll="0"/>
    <pivotField showAll="0">
      <items count="13">
        <item x="8"/>
        <item x="0"/>
        <item x="1"/>
        <item x="2"/>
        <item x="9"/>
        <item x="10"/>
        <item x="4"/>
        <item x="5"/>
        <item x="6"/>
        <item x="7"/>
        <item x="3"/>
        <item x="1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7">
    <i>
      <x/>
    </i>
    <i>
      <x v="1"/>
    </i>
    <i>
      <x v="2"/>
    </i>
    <i>
      <x v="3"/>
    </i>
    <i>
      <x v="4"/>
    </i>
    <i>
      <x v="5"/>
    </i>
    <i t="grand">
      <x/>
    </i>
  </rowItems>
  <colItems count="1">
    <i/>
  </colItems>
  <dataFields count="1">
    <dataField name="Sum of Total Revenue" fld="5" baseField="0" baseItem="0"/>
  </dataFields>
  <formats count="1">
    <format dxfId="18">
      <pivotArea collapsedLevelsAreSubtotals="1" fieldPosition="0">
        <references count="1">
          <reference field="6" count="0"/>
        </references>
      </pivotArea>
    </format>
  </format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8CEB524-B2CC-4869-89CE-38094BCB1B59}" name="PivotTable2month by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16" firstHeaderRow="1" firstDataRow="1" firstDataCol="1"/>
  <pivotFields count="12">
    <pivotField numFmtId="14" showAll="0">
      <items count="330">
        <item x="44"/>
        <item x="45"/>
        <item x="46"/>
        <item x="47"/>
        <item x="48"/>
        <item x="296"/>
        <item x="49"/>
        <item x="16"/>
        <item x="31"/>
        <item x="50"/>
        <item x="51"/>
        <item x="297"/>
        <item x="52"/>
        <item x="53"/>
        <item x="54"/>
        <item x="55"/>
        <item x="56"/>
        <item x="298"/>
        <item x="17"/>
        <item x="57"/>
        <item x="299"/>
        <item x="58"/>
        <item x="59"/>
        <item x="18"/>
        <item x="60"/>
        <item x="61"/>
        <item x="32"/>
        <item x="62"/>
        <item x="63"/>
        <item x="19"/>
        <item x="64"/>
        <item x="300"/>
        <item x="65"/>
        <item x="66"/>
        <item x="67"/>
        <item x="301"/>
        <item x="0"/>
        <item x="68"/>
        <item x="69"/>
        <item x="70"/>
        <item x="302"/>
        <item x="71"/>
        <item x="72"/>
        <item x="73"/>
        <item x="74"/>
        <item x="75"/>
        <item x="303"/>
        <item x="76"/>
        <item x="77"/>
        <item x="78"/>
        <item x="4"/>
        <item x="79"/>
        <item x="80"/>
        <item x="81"/>
        <item x="1"/>
        <item x="82"/>
        <item x="292"/>
        <item x="83"/>
        <item x="84"/>
        <item x="85"/>
        <item x="86"/>
        <item x="87"/>
        <item x="88"/>
        <item x="89"/>
        <item x="90"/>
        <item x="304"/>
        <item x="91"/>
        <item x="92"/>
        <item x="93"/>
        <item x="94"/>
        <item x="95"/>
        <item x="96"/>
        <item x="97"/>
        <item x="98"/>
        <item x="99"/>
        <item x="100"/>
        <item x="101"/>
        <item x="102"/>
        <item x="305"/>
        <item x="103"/>
        <item x="104"/>
        <item x="105"/>
        <item x="106"/>
        <item x="107"/>
        <item x="108"/>
        <item x="109"/>
        <item x="110"/>
        <item x="33"/>
        <item x="111"/>
        <item x="112"/>
        <item x="289"/>
        <item x="20"/>
        <item x="113"/>
        <item x="2"/>
        <item x="293"/>
        <item x="114"/>
        <item x="115"/>
        <item x="116"/>
        <item x="117"/>
        <item x="118"/>
        <item x="119"/>
        <item x="5"/>
        <item x="34"/>
        <item x="120"/>
        <item x="121"/>
        <item x="122"/>
        <item x="123"/>
        <item x="124"/>
        <item x="125"/>
        <item x="21"/>
        <item x="306"/>
        <item x="126"/>
        <item x="127"/>
        <item x="35"/>
        <item x="128"/>
        <item x="129"/>
        <item x="130"/>
        <item x="131"/>
        <item x="132"/>
        <item x="133"/>
        <item x="134"/>
        <item x="135"/>
        <item x="136"/>
        <item x="137"/>
        <item x="138"/>
        <item x="139"/>
        <item x="140"/>
        <item x="141"/>
        <item x="36"/>
        <item x="142"/>
        <item x="143"/>
        <item x="144"/>
        <item x="145"/>
        <item x="307"/>
        <item x="146"/>
        <item x="147"/>
        <item x="148"/>
        <item x="294"/>
        <item x="149"/>
        <item x="308"/>
        <item x="150"/>
        <item x="151"/>
        <item x="152"/>
        <item x="153"/>
        <item x="154"/>
        <item x="22"/>
        <item x="155"/>
        <item x="156"/>
        <item x="157"/>
        <item x="158"/>
        <item x="159"/>
        <item x="37"/>
        <item x="160"/>
        <item x="161"/>
        <item x="162"/>
        <item x="163"/>
        <item x="164"/>
        <item x="165"/>
        <item x="166"/>
        <item x="167"/>
        <item x="168"/>
        <item x="169"/>
        <item x="170"/>
        <item x="171"/>
        <item x="172"/>
        <item x="173"/>
        <item x="174"/>
        <item x="175"/>
        <item x="176"/>
        <item x="177"/>
        <item x="178"/>
        <item x="6"/>
        <item x="179"/>
        <item x="180"/>
        <item x="309"/>
        <item x="181"/>
        <item x="182"/>
        <item x="183"/>
        <item x="184"/>
        <item x="185"/>
        <item x="23"/>
        <item x="186"/>
        <item x="187"/>
        <item x="188"/>
        <item x="38"/>
        <item x="295"/>
        <item x="189"/>
        <item x="190"/>
        <item x="310"/>
        <item x="191"/>
        <item x="311"/>
        <item x="192"/>
        <item x="7"/>
        <item x="312"/>
        <item x="8"/>
        <item x="193"/>
        <item x="39"/>
        <item x="194"/>
        <item x="195"/>
        <item x="196"/>
        <item x="197"/>
        <item x="313"/>
        <item x="24"/>
        <item x="198"/>
        <item x="199"/>
        <item x="200"/>
        <item x="201"/>
        <item x="202"/>
        <item x="203"/>
        <item x="204"/>
        <item x="314"/>
        <item x="205"/>
        <item x="206"/>
        <item x="315"/>
        <item x="207"/>
        <item x="316"/>
        <item x="208"/>
        <item x="40"/>
        <item x="209"/>
        <item x="9"/>
        <item x="210"/>
        <item x="317"/>
        <item x="211"/>
        <item x="212"/>
        <item x="41"/>
        <item x="213"/>
        <item x="214"/>
        <item x="215"/>
        <item x="10"/>
        <item x="216"/>
        <item x="217"/>
        <item x="25"/>
        <item x="218"/>
        <item x="219"/>
        <item x="220"/>
        <item x="221"/>
        <item x="222"/>
        <item x="223"/>
        <item x="224"/>
        <item x="318"/>
        <item x="11"/>
        <item x="225"/>
        <item x="226"/>
        <item x="227"/>
        <item x="228"/>
        <item x="42"/>
        <item x="229"/>
        <item x="230"/>
        <item x="231"/>
        <item x="232"/>
        <item x="233"/>
        <item x="234"/>
        <item x="235"/>
        <item x="26"/>
        <item x="319"/>
        <item x="236"/>
        <item x="237"/>
        <item x="238"/>
        <item x="239"/>
        <item x="240"/>
        <item x="241"/>
        <item x="242"/>
        <item x="27"/>
        <item x="243"/>
        <item x="244"/>
        <item x="245"/>
        <item x="246"/>
        <item x="12"/>
        <item x="13"/>
        <item x="247"/>
        <item x="291"/>
        <item x="248"/>
        <item x="249"/>
        <item x="250"/>
        <item x="320"/>
        <item x="251"/>
        <item x="252"/>
        <item x="321"/>
        <item x="253"/>
        <item x="290"/>
        <item x="14"/>
        <item x="254"/>
        <item x="322"/>
        <item x="255"/>
        <item x="256"/>
        <item x="257"/>
        <item x="28"/>
        <item x="323"/>
        <item x="29"/>
        <item x="258"/>
        <item x="324"/>
        <item x="259"/>
        <item x="260"/>
        <item x="325"/>
        <item x="261"/>
        <item x="262"/>
        <item x="3"/>
        <item x="15"/>
        <item x="263"/>
        <item x="264"/>
        <item x="265"/>
        <item x="266"/>
        <item x="267"/>
        <item x="268"/>
        <item x="326"/>
        <item x="269"/>
        <item x="327"/>
        <item x="270"/>
        <item x="271"/>
        <item x="272"/>
        <item x="328"/>
        <item x="273"/>
        <item x="274"/>
        <item x="275"/>
        <item x="276"/>
        <item x="277"/>
        <item x="278"/>
        <item x="279"/>
        <item x="280"/>
        <item x="281"/>
        <item x="282"/>
        <item x="283"/>
        <item x="43"/>
        <item x="284"/>
        <item x="285"/>
        <item x="286"/>
        <item x="287"/>
        <item x="288"/>
        <item x="30"/>
        <item t="default"/>
      </items>
    </pivotField>
    <pivotField showAll="0"/>
    <pivotField showAll="0">
      <items count="11">
        <item x="1"/>
        <item x="3"/>
        <item x="7"/>
        <item x="4"/>
        <item x="2"/>
        <item x="6"/>
        <item x="9"/>
        <item x="5"/>
        <item x="0"/>
        <item x="8"/>
        <item t="default"/>
      </items>
    </pivotField>
    <pivotField showAll="0"/>
    <pivotField showAll="0"/>
    <pivotField dataField="1" showAll="0"/>
    <pivotField showAll="0"/>
    <pivotField showAll="0"/>
    <pivotField axis="axisRow" showAll="0">
      <items count="13">
        <item x="8"/>
        <item x="0"/>
        <item x="1"/>
        <item x="2"/>
        <item x="9"/>
        <item x="10"/>
        <item x="4"/>
        <item x="5"/>
        <item x="6"/>
        <item x="7"/>
        <item x="3"/>
        <item x="1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13">
    <i>
      <x/>
    </i>
    <i>
      <x v="1"/>
    </i>
    <i>
      <x v="2"/>
    </i>
    <i>
      <x v="3"/>
    </i>
    <i>
      <x v="4"/>
    </i>
    <i>
      <x v="5"/>
    </i>
    <i>
      <x v="6"/>
    </i>
    <i>
      <x v="7"/>
    </i>
    <i>
      <x v="8"/>
    </i>
    <i>
      <x v="9"/>
    </i>
    <i>
      <x v="10"/>
    </i>
    <i>
      <x v="11"/>
    </i>
    <i t="grand">
      <x/>
    </i>
  </rowItems>
  <colItems count="1">
    <i/>
  </colItems>
  <dataFields count="1">
    <dataField name="Sum of Total Revenue" fld="5" baseField="0" baseItem="0"/>
  </dataFields>
  <formats count="1">
    <format dxfId="19">
      <pivotArea collapsedLevelsAreSubtotals="1" fieldPosition="0">
        <references count="1">
          <reference field="8" count="0"/>
        </references>
      </pivotArea>
    </format>
  </format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8" count="1" selected="0">
            <x v="11"/>
          </reference>
        </references>
      </pivotArea>
    </chartFormat>
    <chartFormat chart="20" format="1"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07A7077-0B07-49F3-9F19-2CB7216B2992}" name="days by qty 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9:B27" firstHeaderRow="1" firstDataRow="1" firstDataCol="1"/>
  <pivotFields count="12">
    <pivotField numFmtId="14" showAll="0">
      <items count="330">
        <item x="44"/>
        <item x="45"/>
        <item x="46"/>
        <item x="47"/>
        <item x="48"/>
        <item x="296"/>
        <item x="49"/>
        <item x="16"/>
        <item x="31"/>
        <item x="50"/>
        <item x="51"/>
        <item x="297"/>
        <item x="52"/>
        <item x="53"/>
        <item x="54"/>
        <item x="55"/>
        <item x="56"/>
        <item x="298"/>
        <item x="17"/>
        <item x="57"/>
        <item x="299"/>
        <item x="58"/>
        <item x="59"/>
        <item x="18"/>
        <item x="60"/>
        <item x="61"/>
        <item x="32"/>
        <item x="62"/>
        <item x="63"/>
        <item x="19"/>
        <item x="64"/>
        <item x="300"/>
        <item x="65"/>
        <item x="66"/>
        <item x="67"/>
        <item x="301"/>
        <item x="0"/>
        <item x="68"/>
        <item x="69"/>
        <item x="70"/>
        <item x="302"/>
        <item x="71"/>
        <item x="72"/>
        <item x="73"/>
        <item x="74"/>
        <item x="75"/>
        <item x="303"/>
        <item x="76"/>
        <item x="77"/>
        <item x="78"/>
        <item x="4"/>
        <item x="79"/>
        <item x="80"/>
        <item x="81"/>
        <item x="1"/>
        <item x="82"/>
        <item x="292"/>
        <item x="83"/>
        <item x="84"/>
        <item x="85"/>
        <item x="86"/>
        <item x="87"/>
        <item x="88"/>
        <item x="89"/>
        <item x="90"/>
        <item x="304"/>
        <item x="91"/>
        <item x="92"/>
        <item x="93"/>
        <item x="94"/>
        <item x="95"/>
        <item x="96"/>
        <item x="97"/>
        <item x="98"/>
        <item x="99"/>
        <item x="100"/>
        <item x="101"/>
        <item x="102"/>
        <item x="305"/>
        <item x="103"/>
        <item x="104"/>
        <item x="105"/>
        <item x="106"/>
        <item x="107"/>
        <item x="108"/>
        <item x="109"/>
        <item x="110"/>
        <item x="33"/>
        <item x="111"/>
        <item x="112"/>
        <item x="289"/>
        <item x="20"/>
        <item x="113"/>
        <item x="2"/>
        <item x="293"/>
        <item x="114"/>
        <item x="115"/>
        <item x="116"/>
        <item x="117"/>
        <item x="118"/>
        <item x="119"/>
        <item x="5"/>
        <item x="34"/>
        <item x="120"/>
        <item x="121"/>
        <item x="122"/>
        <item x="123"/>
        <item x="124"/>
        <item x="125"/>
        <item x="21"/>
        <item x="306"/>
        <item x="126"/>
        <item x="127"/>
        <item x="35"/>
        <item x="128"/>
        <item x="129"/>
        <item x="130"/>
        <item x="131"/>
        <item x="132"/>
        <item x="133"/>
        <item x="134"/>
        <item x="135"/>
        <item x="136"/>
        <item x="137"/>
        <item x="138"/>
        <item x="139"/>
        <item x="140"/>
        <item x="141"/>
        <item x="36"/>
        <item x="142"/>
        <item x="143"/>
        <item x="144"/>
        <item x="145"/>
        <item x="307"/>
        <item x="146"/>
        <item x="147"/>
        <item x="148"/>
        <item x="294"/>
        <item x="149"/>
        <item x="308"/>
        <item x="150"/>
        <item x="151"/>
        <item x="152"/>
        <item x="153"/>
        <item x="154"/>
        <item x="22"/>
        <item x="155"/>
        <item x="156"/>
        <item x="157"/>
        <item x="158"/>
        <item x="159"/>
        <item x="37"/>
        <item x="160"/>
        <item x="161"/>
        <item x="162"/>
        <item x="163"/>
        <item x="164"/>
        <item x="165"/>
        <item x="166"/>
        <item x="167"/>
        <item x="168"/>
        <item x="169"/>
        <item x="170"/>
        <item x="171"/>
        <item x="172"/>
        <item x="173"/>
        <item x="174"/>
        <item x="175"/>
        <item x="176"/>
        <item x="177"/>
        <item x="178"/>
        <item x="6"/>
        <item x="179"/>
        <item x="180"/>
        <item x="309"/>
        <item x="181"/>
        <item x="182"/>
        <item x="183"/>
        <item x="184"/>
        <item x="185"/>
        <item x="23"/>
        <item x="186"/>
        <item x="187"/>
        <item x="188"/>
        <item x="38"/>
        <item x="295"/>
        <item x="189"/>
        <item x="190"/>
        <item x="310"/>
        <item x="191"/>
        <item x="311"/>
        <item x="192"/>
        <item x="7"/>
        <item x="312"/>
        <item x="8"/>
        <item x="193"/>
        <item x="39"/>
        <item x="194"/>
        <item x="195"/>
        <item x="196"/>
        <item x="197"/>
        <item x="313"/>
        <item x="24"/>
        <item x="198"/>
        <item x="199"/>
        <item x="200"/>
        <item x="201"/>
        <item x="202"/>
        <item x="203"/>
        <item x="204"/>
        <item x="314"/>
        <item x="205"/>
        <item x="206"/>
        <item x="315"/>
        <item x="207"/>
        <item x="316"/>
        <item x="208"/>
        <item x="40"/>
        <item x="209"/>
        <item x="9"/>
        <item x="210"/>
        <item x="317"/>
        <item x="211"/>
        <item x="212"/>
        <item x="41"/>
        <item x="213"/>
        <item x="214"/>
        <item x="215"/>
        <item x="10"/>
        <item x="216"/>
        <item x="217"/>
        <item x="25"/>
        <item x="218"/>
        <item x="219"/>
        <item x="220"/>
        <item x="221"/>
        <item x="222"/>
        <item x="223"/>
        <item x="224"/>
        <item x="318"/>
        <item x="11"/>
        <item x="225"/>
        <item x="226"/>
        <item x="227"/>
        <item x="228"/>
        <item x="42"/>
        <item x="229"/>
        <item x="230"/>
        <item x="231"/>
        <item x="232"/>
        <item x="233"/>
        <item x="234"/>
        <item x="235"/>
        <item x="26"/>
        <item x="319"/>
        <item x="236"/>
        <item x="237"/>
        <item x="238"/>
        <item x="239"/>
        <item x="240"/>
        <item x="241"/>
        <item x="242"/>
        <item x="27"/>
        <item x="243"/>
        <item x="244"/>
        <item x="245"/>
        <item x="246"/>
        <item x="12"/>
        <item x="13"/>
        <item x="247"/>
        <item x="291"/>
        <item x="248"/>
        <item x="249"/>
        <item x="250"/>
        <item x="320"/>
        <item x="251"/>
        <item x="252"/>
        <item x="321"/>
        <item x="253"/>
        <item x="290"/>
        <item x="14"/>
        <item x="254"/>
        <item x="322"/>
        <item x="255"/>
        <item x="256"/>
        <item x="257"/>
        <item x="28"/>
        <item x="323"/>
        <item x="29"/>
        <item x="258"/>
        <item x="324"/>
        <item x="259"/>
        <item x="260"/>
        <item x="325"/>
        <item x="261"/>
        <item x="262"/>
        <item x="3"/>
        <item x="15"/>
        <item x="263"/>
        <item x="264"/>
        <item x="265"/>
        <item x="266"/>
        <item x="267"/>
        <item x="268"/>
        <item x="326"/>
        <item x="269"/>
        <item x="327"/>
        <item x="270"/>
        <item x="271"/>
        <item x="272"/>
        <item x="328"/>
        <item x="273"/>
        <item x="274"/>
        <item x="275"/>
        <item x="276"/>
        <item x="277"/>
        <item x="278"/>
        <item x="279"/>
        <item x="280"/>
        <item x="281"/>
        <item x="282"/>
        <item x="283"/>
        <item x="43"/>
        <item x="284"/>
        <item x="285"/>
        <item x="286"/>
        <item x="287"/>
        <item x="288"/>
        <item x="30"/>
        <item t="default"/>
      </items>
    </pivotField>
    <pivotField showAll="0"/>
    <pivotField showAll="0">
      <items count="11">
        <item x="1"/>
        <item x="3"/>
        <item x="7"/>
        <item x="4"/>
        <item x="2"/>
        <item x="6"/>
        <item x="9"/>
        <item x="5"/>
        <item x="0"/>
        <item x="8"/>
        <item t="default"/>
      </items>
    </pivotField>
    <pivotField dataField="1" showAll="0"/>
    <pivotField showAll="0"/>
    <pivotField showAll="0"/>
    <pivotField showAll="0"/>
    <pivotField showAll="0"/>
    <pivotField showAll="0">
      <items count="13">
        <item x="8"/>
        <item x="0"/>
        <item x="1"/>
        <item x="2"/>
        <item x="9"/>
        <item x="10"/>
        <item x="4"/>
        <item x="5"/>
        <item x="6"/>
        <item x="7"/>
        <item x="3"/>
        <item x="11"/>
        <item t="default"/>
      </items>
    </pivotField>
    <pivotField axis="axisRow" showAll="0">
      <items count="8">
        <item x="5"/>
        <item x="0"/>
        <item x="2"/>
        <item x="1"/>
        <item x="6"/>
        <item x="3"/>
        <item x="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8">
    <i>
      <x/>
    </i>
    <i>
      <x v="1"/>
    </i>
    <i>
      <x v="2"/>
    </i>
    <i>
      <x v="3"/>
    </i>
    <i>
      <x v="4"/>
    </i>
    <i>
      <x v="5"/>
    </i>
    <i>
      <x v="6"/>
    </i>
    <i t="grand">
      <x/>
    </i>
  </rowItems>
  <colItems count="1">
    <i/>
  </colItems>
  <dataFields count="1">
    <dataField name="Sum of Quantity Sold" fld="3" baseField="0" baseItem="0"/>
  </dataFields>
  <chartFormats count="2">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34DF894-9063-4FAE-8803-820BCD6BA09B}" name="rev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4" firstHeaderRow="1" firstDataRow="1" firstDataCol="1"/>
  <pivotFields count="12">
    <pivotField numFmtId="14" showAll="0">
      <items count="330">
        <item x="44"/>
        <item x="45"/>
        <item x="46"/>
        <item x="47"/>
        <item x="48"/>
        <item x="296"/>
        <item x="49"/>
        <item x="16"/>
        <item x="31"/>
        <item x="50"/>
        <item x="51"/>
        <item x="297"/>
        <item x="52"/>
        <item x="53"/>
        <item x="54"/>
        <item x="55"/>
        <item x="56"/>
        <item x="298"/>
        <item x="17"/>
        <item x="57"/>
        <item x="299"/>
        <item x="58"/>
        <item x="59"/>
        <item x="18"/>
        <item x="60"/>
        <item x="61"/>
        <item x="32"/>
        <item x="62"/>
        <item x="63"/>
        <item x="19"/>
        <item x="64"/>
        <item x="300"/>
        <item x="65"/>
        <item x="66"/>
        <item x="67"/>
        <item x="301"/>
        <item x="0"/>
        <item x="68"/>
        <item x="69"/>
        <item x="70"/>
        <item x="302"/>
        <item x="71"/>
        <item x="72"/>
        <item x="73"/>
        <item x="74"/>
        <item x="75"/>
        <item x="303"/>
        <item x="76"/>
        <item x="77"/>
        <item x="78"/>
        <item x="4"/>
        <item x="79"/>
        <item x="80"/>
        <item x="81"/>
        <item x="1"/>
        <item x="82"/>
        <item x="292"/>
        <item x="83"/>
        <item x="84"/>
        <item x="85"/>
        <item x="86"/>
        <item x="87"/>
        <item x="88"/>
        <item x="89"/>
        <item x="90"/>
        <item x="304"/>
        <item x="91"/>
        <item x="92"/>
        <item x="93"/>
        <item x="94"/>
        <item x="95"/>
        <item x="96"/>
        <item x="97"/>
        <item x="98"/>
        <item x="99"/>
        <item x="100"/>
        <item x="101"/>
        <item x="102"/>
        <item x="305"/>
        <item x="103"/>
        <item x="104"/>
        <item x="105"/>
        <item x="106"/>
        <item x="107"/>
        <item x="108"/>
        <item x="109"/>
        <item x="110"/>
        <item x="33"/>
        <item x="111"/>
        <item x="112"/>
        <item x="289"/>
        <item x="20"/>
        <item x="113"/>
        <item x="2"/>
        <item x="293"/>
        <item x="114"/>
        <item x="115"/>
        <item x="116"/>
        <item x="117"/>
        <item x="118"/>
        <item x="119"/>
        <item x="5"/>
        <item x="34"/>
        <item x="120"/>
        <item x="121"/>
        <item x="122"/>
        <item x="123"/>
        <item x="124"/>
        <item x="125"/>
        <item x="21"/>
        <item x="306"/>
        <item x="126"/>
        <item x="127"/>
        <item x="35"/>
        <item x="128"/>
        <item x="129"/>
        <item x="130"/>
        <item x="131"/>
        <item x="132"/>
        <item x="133"/>
        <item x="134"/>
        <item x="135"/>
        <item x="136"/>
        <item x="137"/>
        <item x="138"/>
        <item x="139"/>
        <item x="140"/>
        <item x="141"/>
        <item x="36"/>
        <item x="142"/>
        <item x="143"/>
        <item x="144"/>
        <item x="145"/>
        <item x="307"/>
        <item x="146"/>
        <item x="147"/>
        <item x="148"/>
        <item x="294"/>
        <item x="149"/>
        <item x="308"/>
        <item x="150"/>
        <item x="151"/>
        <item x="152"/>
        <item x="153"/>
        <item x="154"/>
        <item x="22"/>
        <item x="155"/>
        <item x="156"/>
        <item x="157"/>
        <item x="158"/>
        <item x="159"/>
        <item x="37"/>
        <item x="160"/>
        <item x="161"/>
        <item x="162"/>
        <item x="163"/>
        <item x="164"/>
        <item x="165"/>
        <item x="166"/>
        <item x="167"/>
        <item x="168"/>
        <item x="169"/>
        <item x="170"/>
        <item x="171"/>
        <item x="172"/>
        <item x="173"/>
        <item x="174"/>
        <item x="175"/>
        <item x="176"/>
        <item x="177"/>
        <item x="178"/>
        <item x="6"/>
        <item x="179"/>
        <item x="180"/>
        <item x="309"/>
        <item x="181"/>
        <item x="182"/>
        <item x="183"/>
        <item x="184"/>
        <item x="185"/>
        <item x="23"/>
        <item x="186"/>
        <item x="187"/>
        <item x="188"/>
        <item x="38"/>
        <item x="295"/>
        <item x="189"/>
        <item x="190"/>
        <item x="310"/>
        <item x="191"/>
        <item x="311"/>
        <item x="192"/>
        <item x="7"/>
        <item x="312"/>
        <item x="8"/>
        <item x="193"/>
        <item x="39"/>
        <item x="194"/>
        <item x="195"/>
        <item x="196"/>
        <item x="197"/>
        <item x="313"/>
        <item x="24"/>
        <item x="198"/>
        <item x="199"/>
        <item x="200"/>
        <item x="201"/>
        <item x="202"/>
        <item x="203"/>
        <item x="204"/>
        <item x="314"/>
        <item x="205"/>
        <item x="206"/>
        <item x="315"/>
        <item x="207"/>
        <item x="316"/>
        <item x="208"/>
        <item x="40"/>
        <item x="209"/>
        <item x="9"/>
        <item x="210"/>
        <item x="317"/>
        <item x="211"/>
        <item x="212"/>
        <item x="41"/>
        <item x="213"/>
        <item x="214"/>
        <item x="215"/>
        <item x="10"/>
        <item x="216"/>
        <item x="217"/>
        <item x="25"/>
        <item x="218"/>
        <item x="219"/>
        <item x="220"/>
        <item x="221"/>
        <item x="222"/>
        <item x="223"/>
        <item x="224"/>
        <item x="318"/>
        <item x="11"/>
        <item x="225"/>
        <item x="226"/>
        <item x="227"/>
        <item x="228"/>
        <item x="42"/>
        <item x="229"/>
        <item x="230"/>
        <item x="231"/>
        <item x="232"/>
        <item x="233"/>
        <item x="234"/>
        <item x="235"/>
        <item x="26"/>
        <item x="319"/>
        <item x="236"/>
        <item x="237"/>
        <item x="238"/>
        <item x="239"/>
        <item x="240"/>
        <item x="241"/>
        <item x="242"/>
        <item x="27"/>
        <item x="243"/>
        <item x="244"/>
        <item x="245"/>
        <item x="246"/>
        <item x="12"/>
        <item x="13"/>
        <item x="247"/>
        <item x="291"/>
        <item x="248"/>
        <item x="249"/>
        <item x="250"/>
        <item x="320"/>
        <item x="251"/>
        <item x="252"/>
        <item x="321"/>
        <item x="253"/>
        <item x="290"/>
        <item x="14"/>
        <item x="254"/>
        <item x="322"/>
        <item x="255"/>
        <item x="256"/>
        <item x="257"/>
        <item x="28"/>
        <item x="323"/>
        <item x="29"/>
        <item x="258"/>
        <item x="324"/>
        <item x="259"/>
        <item x="260"/>
        <item x="325"/>
        <item x="261"/>
        <item x="262"/>
        <item x="3"/>
        <item x="15"/>
        <item x="263"/>
        <item x="264"/>
        <item x="265"/>
        <item x="266"/>
        <item x="267"/>
        <item x="268"/>
        <item x="326"/>
        <item x="269"/>
        <item x="327"/>
        <item x="270"/>
        <item x="271"/>
        <item x="272"/>
        <item x="328"/>
        <item x="273"/>
        <item x="274"/>
        <item x="275"/>
        <item x="276"/>
        <item x="277"/>
        <item x="278"/>
        <item x="279"/>
        <item x="280"/>
        <item x="281"/>
        <item x="282"/>
        <item x="283"/>
        <item x="43"/>
        <item x="284"/>
        <item x="285"/>
        <item x="286"/>
        <item x="287"/>
        <item x="288"/>
        <item x="30"/>
        <item t="default"/>
      </items>
    </pivotField>
    <pivotField showAll="0"/>
    <pivotField axis="axisRow" showAll="0" sortType="descending">
      <items count="11">
        <item x="1"/>
        <item x="3"/>
        <item x="7"/>
        <item x="4"/>
        <item x="2"/>
        <item x="6"/>
        <item x="9"/>
        <item x="5"/>
        <item x="0"/>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13">
        <item x="8"/>
        <item x="0"/>
        <item x="1"/>
        <item x="2"/>
        <item x="9"/>
        <item x="10"/>
        <item x="4"/>
        <item x="5"/>
        <item x="6"/>
        <item x="7"/>
        <item x="3"/>
        <item x="1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1">
    <i>
      <x v="9"/>
    </i>
    <i>
      <x v="5"/>
    </i>
    <i>
      <x v="4"/>
    </i>
    <i>
      <x v="3"/>
    </i>
    <i>
      <x v="7"/>
    </i>
    <i>
      <x v="8"/>
    </i>
    <i>
      <x v="6"/>
    </i>
    <i>
      <x v="2"/>
    </i>
    <i>
      <x v="1"/>
    </i>
    <i>
      <x/>
    </i>
    <i t="grand">
      <x/>
    </i>
  </rowItems>
  <colItems count="1">
    <i/>
  </colItems>
  <dataFields count="1">
    <dataField name="Sum of Total Revenue" fld="5" baseField="0"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4A2DB5C-C0DC-4DE3-B7B7-A5E3BA90E37E}" name="rev mtd 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L4:M17" firstHeaderRow="1" firstDataRow="1" firstDataCol="1"/>
  <pivotFields count="12">
    <pivotField numFmtId="14" showAll="0">
      <items count="330">
        <item x="44"/>
        <item x="45"/>
        <item x="46"/>
        <item x="47"/>
        <item x="48"/>
        <item x="296"/>
        <item x="49"/>
        <item x="16"/>
        <item x="31"/>
        <item x="50"/>
        <item x="51"/>
        <item x="297"/>
        <item x="52"/>
        <item x="53"/>
        <item x="54"/>
        <item x="55"/>
        <item x="56"/>
        <item x="298"/>
        <item x="17"/>
        <item x="57"/>
        <item x="299"/>
        <item x="58"/>
        <item x="59"/>
        <item x="18"/>
        <item x="60"/>
        <item x="61"/>
        <item x="32"/>
        <item x="62"/>
        <item x="63"/>
        <item x="19"/>
        <item x="64"/>
        <item x="300"/>
        <item x="65"/>
        <item x="66"/>
        <item x="67"/>
        <item x="301"/>
        <item x="0"/>
        <item x="68"/>
        <item x="69"/>
        <item x="70"/>
        <item x="302"/>
        <item x="71"/>
        <item x="72"/>
        <item x="73"/>
        <item x="74"/>
        <item x="75"/>
        <item x="303"/>
        <item x="76"/>
        <item x="77"/>
        <item x="78"/>
        <item x="4"/>
        <item x="79"/>
        <item x="80"/>
        <item x="81"/>
        <item x="1"/>
        <item x="82"/>
        <item x="292"/>
        <item x="83"/>
        <item x="84"/>
        <item x="85"/>
        <item x="86"/>
        <item x="87"/>
        <item x="88"/>
        <item x="89"/>
        <item x="90"/>
        <item x="304"/>
        <item x="91"/>
        <item x="92"/>
        <item x="93"/>
        <item x="94"/>
        <item x="95"/>
        <item x="96"/>
        <item x="97"/>
        <item x="98"/>
        <item x="99"/>
        <item x="100"/>
        <item x="101"/>
        <item x="102"/>
        <item x="305"/>
        <item x="103"/>
        <item x="104"/>
        <item x="105"/>
        <item x="106"/>
        <item x="107"/>
        <item x="108"/>
        <item x="109"/>
        <item x="110"/>
        <item x="33"/>
        <item x="111"/>
        <item x="112"/>
        <item x="289"/>
        <item x="20"/>
        <item x="113"/>
        <item x="2"/>
        <item x="293"/>
        <item x="114"/>
        <item x="115"/>
        <item x="116"/>
        <item x="117"/>
        <item x="118"/>
        <item x="119"/>
        <item x="5"/>
        <item x="34"/>
        <item x="120"/>
        <item x="121"/>
        <item x="122"/>
        <item x="123"/>
        <item x="124"/>
        <item x="125"/>
        <item x="21"/>
        <item x="306"/>
        <item x="126"/>
        <item x="127"/>
        <item x="35"/>
        <item x="128"/>
        <item x="129"/>
        <item x="130"/>
        <item x="131"/>
        <item x="132"/>
        <item x="133"/>
        <item x="134"/>
        <item x="135"/>
        <item x="136"/>
        <item x="137"/>
        <item x="138"/>
        <item x="139"/>
        <item x="140"/>
        <item x="141"/>
        <item x="36"/>
        <item x="142"/>
        <item x="143"/>
        <item x="144"/>
        <item x="145"/>
        <item x="307"/>
        <item x="146"/>
        <item x="147"/>
        <item x="148"/>
        <item x="294"/>
        <item x="149"/>
        <item x="308"/>
        <item x="150"/>
        <item x="151"/>
        <item x="152"/>
        <item x="153"/>
        <item x="154"/>
        <item x="22"/>
        <item x="155"/>
        <item x="156"/>
        <item x="157"/>
        <item x="158"/>
        <item x="159"/>
        <item x="37"/>
        <item x="160"/>
        <item x="161"/>
        <item x="162"/>
        <item x="163"/>
        <item x="164"/>
        <item x="165"/>
        <item x="166"/>
        <item x="167"/>
        <item x="168"/>
        <item x="169"/>
        <item x="170"/>
        <item x="171"/>
        <item x="172"/>
        <item x="173"/>
        <item x="174"/>
        <item x="175"/>
        <item x="176"/>
        <item x="177"/>
        <item x="178"/>
        <item x="6"/>
        <item x="179"/>
        <item x="180"/>
        <item x="309"/>
        <item x="181"/>
        <item x="182"/>
        <item x="183"/>
        <item x="184"/>
        <item x="185"/>
        <item x="23"/>
        <item x="186"/>
        <item x="187"/>
        <item x="188"/>
        <item x="38"/>
        <item x="295"/>
        <item x="189"/>
        <item x="190"/>
        <item x="310"/>
        <item x="191"/>
        <item x="311"/>
        <item x="192"/>
        <item x="7"/>
        <item x="312"/>
        <item x="8"/>
        <item x="193"/>
        <item x="39"/>
        <item x="194"/>
        <item x="195"/>
        <item x="196"/>
        <item x="197"/>
        <item x="313"/>
        <item x="24"/>
        <item x="198"/>
        <item x="199"/>
        <item x="200"/>
        <item x="201"/>
        <item x="202"/>
        <item x="203"/>
        <item x="204"/>
        <item x="314"/>
        <item x="205"/>
        <item x="206"/>
        <item x="315"/>
        <item x="207"/>
        <item x="316"/>
        <item x="208"/>
        <item x="40"/>
        <item x="209"/>
        <item x="9"/>
        <item x="210"/>
        <item x="317"/>
        <item x="211"/>
        <item x="212"/>
        <item x="41"/>
        <item x="213"/>
        <item x="214"/>
        <item x="215"/>
        <item x="10"/>
        <item x="216"/>
        <item x="217"/>
        <item x="25"/>
        <item x="218"/>
        <item x="219"/>
        <item x="220"/>
        <item x="221"/>
        <item x="222"/>
        <item x="223"/>
        <item x="224"/>
        <item x="318"/>
        <item x="11"/>
        <item x="225"/>
        <item x="226"/>
        <item x="227"/>
        <item x="228"/>
        <item x="42"/>
        <item x="229"/>
        <item x="230"/>
        <item x="231"/>
        <item x="232"/>
        <item x="233"/>
        <item x="234"/>
        <item x="235"/>
        <item x="26"/>
        <item x="319"/>
        <item x="236"/>
        <item x="237"/>
        <item x="238"/>
        <item x="239"/>
        <item x="240"/>
        <item x="241"/>
        <item x="242"/>
        <item x="27"/>
        <item x="243"/>
        <item x="244"/>
        <item x="245"/>
        <item x="246"/>
        <item x="12"/>
        <item x="13"/>
        <item x="247"/>
        <item x="291"/>
        <item x="248"/>
        <item x="249"/>
        <item x="250"/>
        <item x="320"/>
        <item x="251"/>
        <item x="252"/>
        <item x="321"/>
        <item x="253"/>
        <item x="290"/>
        <item x="14"/>
        <item x="254"/>
        <item x="322"/>
        <item x="255"/>
        <item x="256"/>
        <item x="257"/>
        <item x="28"/>
        <item x="323"/>
        <item x="29"/>
        <item x="258"/>
        <item x="324"/>
        <item x="259"/>
        <item x="260"/>
        <item x="325"/>
        <item x="261"/>
        <item x="262"/>
        <item x="3"/>
        <item x="15"/>
        <item x="263"/>
        <item x="264"/>
        <item x="265"/>
        <item x="266"/>
        <item x="267"/>
        <item x="268"/>
        <item x="326"/>
        <item x="269"/>
        <item x="327"/>
        <item x="270"/>
        <item x="271"/>
        <item x="272"/>
        <item x="328"/>
        <item x="273"/>
        <item x="274"/>
        <item x="275"/>
        <item x="276"/>
        <item x="277"/>
        <item x="278"/>
        <item x="279"/>
        <item x="280"/>
        <item x="281"/>
        <item x="282"/>
        <item x="283"/>
        <item x="43"/>
        <item x="284"/>
        <item x="285"/>
        <item x="286"/>
        <item x="287"/>
        <item x="288"/>
        <item x="30"/>
        <item t="default"/>
      </items>
    </pivotField>
    <pivotField showAll="0"/>
    <pivotField showAll="0" sortType="descending">
      <items count="11">
        <item x="1"/>
        <item x="3"/>
        <item x="7"/>
        <item x="4"/>
        <item x="2"/>
        <item x="6"/>
        <item x="9"/>
        <item x="5"/>
        <item x="0"/>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axis="axisRow" showAll="0">
      <items count="13">
        <item x="8"/>
        <item x="0"/>
        <item x="1"/>
        <item x="2"/>
        <item x="9"/>
        <item x="10"/>
        <item x="4"/>
        <item x="5"/>
        <item x="6"/>
        <item x="7"/>
        <item x="3"/>
        <item x="1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13">
    <i>
      <x/>
    </i>
    <i>
      <x v="1"/>
    </i>
    <i>
      <x v="2"/>
    </i>
    <i>
      <x v="3"/>
    </i>
    <i>
      <x v="4"/>
    </i>
    <i>
      <x v="5"/>
    </i>
    <i>
      <x v="6"/>
    </i>
    <i>
      <x v="7"/>
    </i>
    <i>
      <x v="8"/>
    </i>
    <i>
      <x v="9"/>
    </i>
    <i>
      <x v="10"/>
    </i>
    <i>
      <x v="11"/>
    </i>
    <i t="grand">
      <x/>
    </i>
  </rowItems>
  <colItems count="1">
    <i/>
  </colItems>
  <dataFields count="1">
    <dataField name="Sum of Total Revenue" fld="5" baseField="0"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8207146-B9CB-4282-8E3E-4D5C42A3AA3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A2:H14" firstHeaderRow="1" firstDataRow="2" firstDataCol="1"/>
  <pivotFields count="12">
    <pivotField numFmtId="14" showAll="0">
      <items count="330">
        <item x="44"/>
        <item x="45"/>
        <item x="46"/>
        <item x="47"/>
        <item x="48"/>
        <item x="296"/>
        <item x="49"/>
        <item x="16"/>
        <item x="31"/>
        <item x="50"/>
        <item x="51"/>
        <item x="297"/>
        <item x="52"/>
        <item x="53"/>
        <item x="54"/>
        <item x="55"/>
        <item x="56"/>
        <item x="298"/>
        <item x="17"/>
        <item x="57"/>
        <item x="299"/>
        <item x="58"/>
        <item x="59"/>
        <item x="18"/>
        <item x="60"/>
        <item x="61"/>
        <item x="32"/>
        <item x="62"/>
        <item x="63"/>
        <item x="19"/>
        <item x="64"/>
        <item x="300"/>
        <item x="65"/>
        <item x="66"/>
        <item x="67"/>
        <item x="301"/>
        <item x="0"/>
        <item x="68"/>
        <item x="69"/>
        <item x="70"/>
        <item x="302"/>
        <item x="71"/>
        <item x="72"/>
        <item x="73"/>
        <item x="74"/>
        <item x="75"/>
        <item x="303"/>
        <item x="76"/>
        <item x="77"/>
        <item x="78"/>
        <item x="4"/>
        <item x="79"/>
        <item x="80"/>
        <item x="81"/>
        <item x="1"/>
        <item x="82"/>
        <item x="292"/>
        <item x="83"/>
        <item x="84"/>
        <item x="85"/>
        <item x="86"/>
        <item x="87"/>
        <item x="88"/>
        <item x="89"/>
        <item x="90"/>
        <item x="304"/>
        <item x="91"/>
        <item x="92"/>
        <item x="93"/>
        <item x="94"/>
        <item x="95"/>
        <item x="96"/>
        <item x="97"/>
        <item x="98"/>
        <item x="99"/>
        <item x="100"/>
        <item x="101"/>
        <item x="102"/>
        <item x="305"/>
        <item x="103"/>
        <item x="104"/>
        <item x="105"/>
        <item x="106"/>
        <item x="107"/>
        <item x="108"/>
        <item x="109"/>
        <item x="110"/>
        <item x="33"/>
        <item x="111"/>
        <item x="112"/>
        <item x="289"/>
        <item x="20"/>
        <item x="113"/>
        <item x="2"/>
        <item x="293"/>
        <item x="114"/>
        <item x="115"/>
        <item x="116"/>
        <item x="117"/>
        <item x="118"/>
        <item x="119"/>
        <item x="5"/>
        <item x="34"/>
        <item x="120"/>
        <item x="121"/>
        <item x="122"/>
        <item x="123"/>
        <item x="124"/>
        <item x="125"/>
        <item x="21"/>
        <item x="306"/>
        <item x="126"/>
        <item x="127"/>
        <item x="35"/>
        <item x="128"/>
        <item x="129"/>
        <item x="130"/>
        <item x="131"/>
        <item x="132"/>
        <item x="133"/>
        <item x="134"/>
        <item x="135"/>
        <item x="136"/>
        <item x="137"/>
        <item x="138"/>
        <item x="139"/>
        <item x="140"/>
        <item x="141"/>
        <item x="36"/>
        <item x="142"/>
        <item x="143"/>
        <item x="144"/>
        <item x="145"/>
        <item x="307"/>
        <item x="146"/>
        <item x="147"/>
        <item x="148"/>
        <item x="294"/>
        <item x="149"/>
        <item x="308"/>
        <item x="150"/>
        <item x="151"/>
        <item x="152"/>
        <item x="153"/>
        <item x="154"/>
        <item x="22"/>
        <item x="155"/>
        <item x="156"/>
        <item x="157"/>
        <item x="158"/>
        <item x="159"/>
        <item x="37"/>
        <item x="160"/>
        <item x="161"/>
        <item x="162"/>
        <item x="163"/>
        <item x="164"/>
        <item x="165"/>
        <item x="166"/>
        <item x="167"/>
        <item x="168"/>
        <item x="169"/>
        <item x="170"/>
        <item x="171"/>
        <item x="172"/>
        <item x="173"/>
        <item x="174"/>
        <item x="175"/>
        <item x="176"/>
        <item x="177"/>
        <item x="178"/>
        <item x="6"/>
        <item x="179"/>
        <item x="180"/>
        <item x="309"/>
        <item x="181"/>
        <item x="182"/>
        <item x="183"/>
        <item x="184"/>
        <item x="185"/>
        <item x="23"/>
        <item x="186"/>
        <item x="187"/>
        <item x="188"/>
        <item x="38"/>
        <item x="295"/>
        <item x="189"/>
        <item x="190"/>
        <item x="310"/>
        <item x="191"/>
        <item x="311"/>
        <item x="192"/>
        <item x="7"/>
        <item x="312"/>
        <item x="8"/>
        <item x="193"/>
        <item x="39"/>
        <item x="194"/>
        <item x="195"/>
        <item x="196"/>
        <item x="197"/>
        <item x="313"/>
        <item x="24"/>
        <item x="198"/>
        <item x="199"/>
        <item x="200"/>
        <item x="201"/>
        <item x="202"/>
        <item x="203"/>
        <item x="204"/>
        <item x="314"/>
        <item x="205"/>
        <item x="206"/>
        <item x="315"/>
        <item x="207"/>
        <item x="316"/>
        <item x="208"/>
        <item x="40"/>
        <item x="209"/>
        <item x="9"/>
        <item x="210"/>
        <item x="317"/>
        <item x="211"/>
        <item x="212"/>
        <item x="41"/>
        <item x="213"/>
        <item x="214"/>
        <item x="215"/>
        <item x="10"/>
        <item x="216"/>
        <item x="217"/>
        <item x="25"/>
        <item x="218"/>
        <item x="219"/>
        <item x="220"/>
        <item x="221"/>
        <item x="222"/>
        <item x="223"/>
        <item x="224"/>
        <item x="318"/>
        <item x="11"/>
        <item x="225"/>
        <item x="226"/>
        <item x="227"/>
        <item x="228"/>
        <item x="42"/>
        <item x="229"/>
        <item x="230"/>
        <item x="231"/>
        <item x="232"/>
        <item x="233"/>
        <item x="234"/>
        <item x="235"/>
        <item x="26"/>
        <item x="319"/>
        <item x="236"/>
        <item x="237"/>
        <item x="238"/>
        <item x="239"/>
        <item x="240"/>
        <item x="241"/>
        <item x="242"/>
        <item x="27"/>
        <item x="243"/>
        <item x="244"/>
        <item x="245"/>
        <item x="246"/>
        <item x="12"/>
        <item x="13"/>
        <item x="247"/>
        <item x="291"/>
        <item x="248"/>
        <item x="249"/>
        <item x="250"/>
        <item x="320"/>
        <item x="251"/>
        <item x="252"/>
        <item x="321"/>
        <item x="253"/>
        <item x="290"/>
        <item x="14"/>
        <item x="254"/>
        <item x="322"/>
        <item x="255"/>
        <item x="256"/>
        <item x="257"/>
        <item x="28"/>
        <item x="323"/>
        <item x="29"/>
        <item x="258"/>
        <item x="324"/>
        <item x="259"/>
        <item x="260"/>
        <item x="325"/>
        <item x="261"/>
        <item x="262"/>
        <item x="3"/>
        <item x="15"/>
        <item x="263"/>
        <item x="264"/>
        <item x="265"/>
        <item x="266"/>
        <item x="267"/>
        <item x="268"/>
        <item x="326"/>
        <item x="269"/>
        <item x="327"/>
        <item x="270"/>
        <item x="271"/>
        <item x="272"/>
        <item x="328"/>
        <item x="273"/>
        <item x="274"/>
        <item x="275"/>
        <item x="276"/>
        <item x="277"/>
        <item x="278"/>
        <item x="279"/>
        <item x="280"/>
        <item x="281"/>
        <item x="282"/>
        <item x="283"/>
        <item x="43"/>
        <item x="284"/>
        <item x="285"/>
        <item x="286"/>
        <item x="287"/>
        <item x="288"/>
        <item x="30"/>
        <item t="default"/>
      </items>
    </pivotField>
    <pivotField showAll="0"/>
    <pivotField axis="axisRow" showAll="0" sortType="descending">
      <items count="11">
        <item x="1"/>
        <item x="3"/>
        <item x="7"/>
        <item x="4"/>
        <item x="2"/>
        <item x="6"/>
        <item x="9"/>
        <item x="5"/>
        <item x="0"/>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axis="axisCol" showAll="0">
      <items count="7">
        <item x="2"/>
        <item x="5"/>
        <item x="3"/>
        <item x="1"/>
        <item x="4"/>
        <item x="0"/>
        <item t="default"/>
      </items>
    </pivotField>
    <pivotField showAll="0"/>
    <pivotField showAll="0">
      <items count="13">
        <item x="8"/>
        <item x="0"/>
        <item x="1"/>
        <item x="2"/>
        <item x="9"/>
        <item x="10"/>
        <item x="4"/>
        <item x="5"/>
        <item x="6"/>
        <item x="7"/>
        <item x="3"/>
        <item x="1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v="9"/>
    </i>
    <i>
      <x v="5"/>
    </i>
    <i>
      <x v="4"/>
    </i>
    <i>
      <x v="3"/>
    </i>
    <i>
      <x v="7"/>
    </i>
    <i>
      <x v="8"/>
    </i>
    <i>
      <x v="6"/>
    </i>
    <i>
      <x v="2"/>
    </i>
    <i>
      <x v="1"/>
    </i>
    <i>
      <x/>
    </i>
    <i t="grand">
      <x/>
    </i>
  </rowItems>
  <colFields count="1">
    <field x="6"/>
  </colFields>
  <colItems count="7">
    <i>
      <x/>
    </i>
    <i>
      <x v="1"/>
    </i>
    <i>
      <x v="2"/>
    </i>
    <i>
      <x v="3"/>
    </i>
    <i>
      <x v="4"/>
    </i>
    <i>
      <x v="5"/>
    </i>
    <i t="grand">
      <x/>
    </i>
  </colItems>
  <dataFields count="1">
    <dataField name="Sum of Total Revenue" fld="5" baseField="0" baseItem="0" numFmtId="166"/>
  </dataFields>
  <conditionalFormats count="1">
    <conditionalFormat scope="field" type="column" priority="22">
      <pivotAreas count="1">
        <pivotArea outline="0" collapsedLevelsAreSubtotals="1" fieldPosition="0">
          <references count="3">
            <reference field="4294967294" count="1" selected="0">
              <x v="0"/>
            </reference>
            <reference field="2" count="0" selected="0"/>
            <reference field="6" count="0" selected="0"/>
          </references>
        </pivotArea>
      </pivotAreas>
    </conditionalFormat>
  </conditionalFormats>
  <pivotTableStyleInfo name="PivotStyleDark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453184C-7A31-4593-AC24-EE9E923F9881}" autoFormatId="16" applyNumberFormats="0" applyBorderFormats="0" applyFontFormats="0" applyPatternFormats="0" applyAlignmentFormats="0" applyWidthHeightFormats="0">
  <queryTableRefresh nextId="11">
    <queryTableFields count="10">
      <queryTableField id="1" name="Sale Date" tableColumnId="1"/>
      <queryTableField id="2" name="Customer Name" tableColumnId="2"/>
      <queryTableField id="3" name="Product" tableColumnId="3"/>
      <queryTableField id="4" name="Quantity Sold" tableColumnId="4"/>
      <queryTableField id="5" name="Unit Price" tableColumnId="5"/>
      <queryTableField id="6" name="Total Revenue" tableColumnId="6"/>
      <queryTableField id="7" name="Store Location" tableColumnId="7"/>
      <queryTableField id="8" name="Year" tableColumnId="8"/>
      <queryTableField id="9" name="Month" tableColumnId="9"/>
      <queryTableField id="10" name="Day"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2842488-A2AE-4293-94F8-C43190C7518B}" sourceName="Product">
  <pivotTables>
    <pivotTable tabId="27" name="PivotTable2month by revenue"/>
    <pivotTable tabId="27" name="store by revenue"/>
    <pivotTable tabId="26" name="days by qty sold"/>
  </pivotTables>
  <data>
    <tabular pivotCacheId="638566647">
      <items count="10">
        <i x="1" s="1"/>
        <i x="3" s="1"/>
        <i x="7" s="1"/>
        <i x="4" s="1"/>
        <i x="2" s="1"/>
        <i x="6" s="1"/>
        <i x="9" s="1"/>
        <i x="5" s="1"/>
        <i x="0"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5BC085F-9C5F-4727-BD55-F87330494C89}" sourceName="Month">
  <pivotTables>
    <pivotTable tabId="28" name="PivotTable5"/>
    <pivotTable tabId="27" name="store by revenue"/>
    <pivotTable tabId="26" name="days by qty sold"/>
    <pivotTable tabId="26" name="rev by product"/>
    <pivotTable tabId="26" name="rev mtd kpi"/>
  </pivotTables>
  <data>
    <tabular pivotCacheId="638566647">
      <items count="12">
        <i x="8" s="1"/>
        <i x="0" s="1"/>
        <i x="1" s="1"/>
        <i x="2" s="1"/>
        <i x="9" s="1"/>
        <i x="10" s="1"/>
        <i x="4" s="1"/>
        <i x="5" s="1"/>
        <i x="6" s="1"/>
        <i x="7" s="1"/>
        <i x="3"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15342A1-BF7D-4B5A-B006-DDDAC1416F54}" cache="Slicer_Product" caption="Product" rowHeight="247650"/>
  <slicer name="Month" xr10:uid="{D9109376-8BD9-4811-BABA-059EE080F7F1}" cache="Slicer_Month" caption="Month"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B3B95DA-4802-419B-AD10-F7925462EF4A}" cache="Slicer_Product" caption="Product" showCaption="0" style="SlicerStyleLight4" rowHeight="247650"/>
  <slicer name="Month 1" xr10:uid="{A73A2284-4CF2-41FD-B1ED-8300C1D68B0D}" cache="Slicer_Month" columnCount="2" showCaption="0" style="SlicerStyleLight4" rowHeight="2476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C7D7D0-1303-4436-B341-36490C7EF7B0}" name="Table4" displayName="Table4" ref="A1:G1002" totalsRowShown="0" headerRowDxfId="45" tableBorderDxfId="44">
  <autoFilter ref="A1:G1002" xr:uid="{79C7D7D0-1303-4436-B341-36490C7EF7B0}"/>
  <tableColumns count="7">
    <tableColumn id="1" xr3:uid="{63F21170-4C2F-45CB-8A3C-EB6CD56A44DC}" name="Sale Date" dataDxfId="43"/>
    <tableColumn id="2" xr3:uid="{26B171F7-EEA7-46F4-A0A2-C8D25701A805}" name="Customer Name" dataDxfId="42"/>
    <tableColumn id="3" xr3:uid="{DC7BC394-3B5B-4D1D-B837-DC07513F6B7D}" name="Product" dataDxfId="41"/>
    <tableColumn id="4" xr3:uid="{A20EBB2C-7479-48A8-8F68-E6240EAFC0A7}" name="Quantity Sold - Fixed" dataDxfId="40"/>
    <tableColumn id="5" xr3:uid="{070375A9-8CD1-4AF5-8E82-2172969775FE}" name="Unit Price - Fixed" dataDxfId="39"/>
    <tableColumn id="6" xr3:uid="{4D9A4CBF-A9CC-4541-885B-F86E98BF7541}" name="Total Revenue - Fixed" dataDxfId="38"/>
    <tableColumn id="7" xr3:uid="{5F918F94-CBF1-4D8C-B5E0-6F5BB2F8F3B3}" name="Store Location" dataDxfId="3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09F3AA-EA44-484C-AE81-470F0FC6E698}" name="Table1" displayName="Table1" ref="A1:G1001" totalsRowShown="0" headerRowDxfId="36" dataDxfId="35" tableBorderDxfId="34">
  <autoFilter ref="A1:G1001" xr:uid="{2D09F3AA-EA44-484C-AE81-470F0FC6E698}"/>
  <sortState xmlns:xlrd2="http://schemas.microsoft.com/office/spreadsheetml/2017/richdata2" ref="A2:G1001">
    <sortCondition sortBy="cellColor" ref="F1:F1001" dxfId="33"/>
  </sortState>
  <tableColumns count="7">
    <tableColumn id="1" xr3:uid="{B4D28D4D-A078-49CA-A2E7-90E7CE917893}" name="Sale Date" dataDxfId="32"/>
    <tableColumn id="2" xr3:uid="{F77F068B-F43B-44E4-8D75-859A9D142C3D}" name="Customer Name" dataDxfId="31"/>
    <tableColumn id="3" xr3:uid="{C2EFE2C3-F90D-48BB-9473-50D45EDF1F13}" name="Product" dataDxfId="30"/>
    <tableColumn id="4" xr3:uid="{49644699-1AD2-49A7-B2A4-3908455B9CE2}" name="Quantity Sold" dataDxfId="29"/>
    <tableColumn id="5" xr3:uid="{DE54244E-DD61-4EF2-B3EB-87F83E992AA5}" name="Unit Price" dataDxfId="28"/>
    <tableColumn id="6" xr3:uid="{3D71B6C6-A4D0-4C29-A9EC-C208BF23B15B}" name="Total Revenue" dataDxfId="27"/>
    <tableColumn id="7" xr3:uid="{6D668E27-2B07-43E9-A62C-30651DDFBDDD}" name="Store Location" dataDxfId="2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ADDA94-BA93-4359-A50E-2989CC9F3FED}" name="Data" displayName="Data" ref="A1:J1001" tableType="queryTable" totalsRowShown="0">
  <autoFilter ref="A1:J1001" xr:uid="{27ADDA94-BA93-4359-A50E-2989CC9F3FED}"/>
  <tableColumns count="10">
    <tableColumn id="1" xr3:uid="{9757D09F-F30A-4FBE-AAB8-6509ED872AD9}" uniqueName="1" name="Sale Date" queryTableFieldId="1" dataDxfId="25"/>
    <tableColumn id="2" xr3:uid="{8334A4BC-A651-4467-B5DA-443AB33A67C4}" uniqueName="2" name="Customer Name" queryTableFieldId="2" dataDxfId="24"/>
    <tableColumn id="3" xr3:uid="{ACD3FCEA-CA4A-4E16-B3A5-BFE6CF85EAA7}" uniqueName="3" name="Product" queryTableFieldId="3" dataDxfId="23"/>
    <tableColumn id="4" xr3:uid="{CCDF3E60-7C00-4E0D-A6E8-0CD7A5E3FB30}" uniqueName="4" name="Quantity Sold" queryTableFieldId="4"/>
    <tableColumn id="5" xr3:uid="{290F07F2-F78F-4E88-B30F-FB1285835B4F}" uniqueName="5" name="Unit Price" queryTableFieldId="5"/>
    <tableColumn id="6" xr3:uid="{B30EB8E5-B8A4-429F-A20A-3CB142FDB315}" uniqueName="6" name="Total Revenue" queryTableFieldId="6"/>
    <tableColumn id="7" xr3:uid="{2CE69184-4304-45FA-8C31-2233F8603418}" uniqueName="7" name="Store Location" queryTableFieldId="7" dataDxfId="22"/>
    <tableColumn id="8" xr3:uid="{2C320033-75A2-4CD3-9362-0E334864D60B}" uniqueName="8" name="Year" queryTableFieldId="8"/>
    <tableColumn id="9" xr3:uid="{34F50435-F09F-491D-A49B-1B982A9DEC9D}" uniqueName="9" name="Month" queryTableFieldId="9" dataDxfId="21"/>
    <tableColumn id="10" xr3:uid="{C74B23D1-0F60-4BB6-92A1-A16B9AF7ECEA}" uniqueName="10" name="Day" queryTableFieldId="10" dataDxf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56ADA-FEDD-46FD-8932-1932D34D7FCF}">
  <dimension ref="A1:I1002"/>
  <sheetViews>
    <sheetView workbookViewId="0">
      <selection activeCell="E16" sqref="E16"/>
    </sheetView>
  </sheetViews>
  <sheetFormatPr defaultRowHeight="14.4" x14ac:dyDescent="0.3"/>
  <cols>
    <col min="1" max="1" width="18.77734375" customWidth="1"/>
    <col min="2" max="2" width="22.33203125" customWidth="1"/>
    <col min="3" max="3" width="19.33203125" customWidth="1"/>
    <col min="4" max="4" width="23" customWidth="1"/>
    <col min="5" max="5" width="22" customWidth="1"/>
    <col min="6" max="6" width="23.5546875" customWidth="1"/>
    <col min="7" max="7" width="20.44140625" customWidth="1"/>
  </cols>
  <sheetData>
    <row r="1" spans="1:7" x14ac:dyDescent="0.3">
      <c r="A1" s="7" t="s">
        <v>0</v>
      </c>
      <c r="B1" s="7" t="s">
        <v>1</v>
      </c>
      <c r="C1" s="7" t="s">
        <v>2</v>
      </c>
      <c r="D1" s="7" t="s">
        <v>1338</v>
      </c>
      <c r="E1" s="8" t="s">
        <v>1339</v>
      </c>
      <c r="F1" s="8" t="s">
        <v>1340</v>
      </c>
      <c r="G1" s="9" t="s">
        <v>3</v>
      </c>
    </row>
    <row r="2" spans="1:7" x14ac:dyDescent="0.3">
      <c r="A2" s="10" t="s">
        <v>4</v>
      </c>
      <c r="B2" s="3" t="s">
        <v>5</v>
      </c>
      <c r="C2" s="3" t="s">
        <v>6</v>
      </c>
      <c r="D2" s="3">
        <v>3</v>
      </c>
      <c r="E2" s="4">
        <v>497</v>
      </c>
      <c r="F2" s="4">
        <v>1491</v>
      </c>
      <c r="G2" s="5" t="s">
        <v>7</v>
      </c>
    </row>
    <row r="3" spans="1:7" x14ac:dyDescent="0.3">
      <c r="A3" s="11" t="s">
        <v>8</v>
      </c>
      <c r="B3" s="1" t="s">
        <v>9</v>
      </c>
      <c r="C3" s="1" t="s">
        <v>10</v>
      </c>
      <c r="D3" s="1">
        <v>6</v>
      </c>
      <c r="E3" s="6">
        <v>960</v>
      </c>
      <c r="F3" s="6">
        <v>5760</v>
      </c>
      <c r="G3" s="2" t="s">
        <v>11</v>
      </c>
    </row>
    <row r="4" spans="1:7" x14ac:dyDescent="0.3">
      <c r="A4" s="11" t="s">
        <v>12</v>
      </c>
      <c r="B4" s="1" t="s">
        <v>13</v>
      </c>
      <c r="C4" s="1" t="s">
        <v>14</v>
      </c>
      <c r="D4" s="1">
        <v>3</v>
      </c>
      <c r="E4" s="6">
        <v>459</v>
      </c>
      <c r="F4" s="6">
        <v>1377</v>
      </c>
      <c r="G4" s="2" t="s">
        <v>15</v>
      </c>
    </row>
    <row r="5" spans="1:7" x14ac:dyDescent="0.3">
      <c r="A5" s="11" t="s">
        <v>16</v>
      </c>
      <c r="B5" s="1" t="s">
        <v>17</v>
      </c>
      <c r="C5" s="1" t="s">
        <v>18</v>
      </c>
      <c r="D5" s="1">
        <v>5</v>
      </c>
      <c r="E5" s="6">
        <v>811</v>
      </c>
      <c r="F5" s="6">
        <v>4055</v>
      </c>
      <c r="G5" s="2" t="s">
        <v>19</v>
      </c>
    </row>
    <row r="6" spans="1:7" x14ac:dyDescent="0.3">
      <c r="A6" s="11" t="s">
        <v>20</v>
      </c>
      <c r="B6" s="1" t="s">
        <v>21</v>
      </c>
      <c r="C6" s="1" t="s">
        <v>18</v>
      </c>
      <c r="D6" s="1">
        <v>5</v>
      </c>
      <c r="E6" s="6">
        <v>500</v>
      </c>
      <c r="F6" s="6">
        <v>2500</v>
      </c>
      <c r="G6" s="2" t="s">
        <v>19</v>
      </c>
    </row>
    <row r="7" spans="1:7" x14ac:dyDescent="0.3">
      <c r="A7" s="11" t="s">
        <v>22</v>
      </c>
      <c r="B7" s="1" t="s">
        <v>23</v>
      </c>
      <c r="C7" s="1" t="s">
        <v>24</v>
      </c>
      <c r="D7" s="1">
        <v>6</v>
      </c>
      <c r="E7" s="6">
        <v>966</v>
      </c>
      <c r="F7" s="6">
        <v>5796</v>
      </c>
      <c r="G7" s="2" t="s">
        <v>15</v>
      </c>
    </row>
    <row r="8" spans="1:7" x14ac:dyDescent="0.3">
      <c r="A8" s="11" t="s">
        <v>25</v>
      </c>
      <c r="B8" s="1" t="s">
        <v>26</v>
      </c>
      <c r="C8" s="1"/>
      <c r="D8" s="1">
        <v>4</v>
      </c>
      <c r="E8" s="6">
        <v>445</v>
      </c>
      <c r="F8" s="6">
        <v>1780</v>
      </c>
      <c r="G8" s="2" t="s">
        <v>27</v>
      </c>
    </row>
    <row r="9" spans="1:7" x14ac:dyDescent="0.3">
      <c r="A9" s="11" t="s">
        <v>28</v>
      </c>
      <c r="B9" s="1" t="s">
        <v>29</v>
      </c>
      <c r="C9" s="1" t="s">
        <v>30</v>
      </c>
      <c r="D9" s="1">
        <v>2</v>
      </c>
      <c r="E9" s="6">
        <v>397</v>
      </c>
      <c r="F9" s="6">
        <v>794</v>
      </c>
      <c r="G9" s="2" t="s">
        <v>27</v>
      </c>
    </row>
    <row r="10" spans="1:7" x14ac:dyDescent="0.3">
      <c r="A10" s="11" t="s">
        <v>31</v>
      </c>
      <c r="B10" s="1" t="s">
        <v>32</v>
      </c>
      <c r="C10" s="1" t="s">
        <v>6</v>
      </c>
      <c r="D10" s="1">
        <v>4</v>
      </c>
      <c r="E10" s="6">
        <v>241</v>
      </c>
      <c r="F10" s="6">
        <v>964</v>
      </c>
      <c r="G10" s="2" t="s">
        <v>33</v>
      </c>
    </row>
    <row r="11" spans="1:7" x14ac:dyDescent="0.3">
      <c r="A11" s="11" t="s">
        <v>34</v>
      </c>
      <c r="B11" s="1" t="s">
        <v>35</v>
      </c>
      <c r="C11" s="1"/>
      <c r="D11" s="1">
        <v>5</v>
      </c>
      <c r="E11" s="6">
        <v>558</v>
      </c>
      <c r="F11" s="6">
        <v>2790</v>
      </c>
      <c r="G11" s="2" t="s">
        <v>15</v>
      </c>
    </row>
    <row r="12" spans="1:7" x14ac:dyDescent="0.3">
      <c r="A12" s="11" t="s">
        <v>36</v>
      </c>
      <c r="B12" s="1" t="s">
        <v>37</v>
      </c>
      <c r="C12" s="1" t="s">
        <v>38</v>
      </c>
      <c r="D12" s="1">
        <v>4</v>
      </c>
      <c r="E12" s="6">
        <v>758</v>
      </c>
      <c r="F12" s="6">
        <v>3032</v>
      </c>
      <c r="G12" s="2" t="s">
        <v>15</v>
      </c>
    </row>
    <row r="13" spans="1:7" x14ac:dyDescent="0.3">
      <c r="A13" s="11" t="s">
        <v>39</v>
      </c>
      <c r="B13" s="1" t="s">
        <v>40</v>
      </c>
      <c r="C13" s="1" t="s">
        <v>10</v>
      </c>
      <c r="D13" s="1">
        <v>3</v>
      </c>
      <c r="E13" s="6">
        <v>559</v>
      </c>
      <c r="F13" s="6">
        <v>1677</v>
      </c>
      <c r="G13" s="2" t="s">
        <v>33</v>
      </c>
    </row>
    <row r="14" spans="1:7" x14ac:dyDescent="0.3">
      <c r="A14" s="11" t="s">
        <v>41</v>
      </c>
      <c r="B14" s="1" t="s">
        <v>42</v>
      </c>
      <c r="C14" s="1"/>
      <c r="D14" s="1">
        <v>3</v>
      </c>
      <c r="E14" s="6">
        <v>426</v>
      </c>
      <c r="F14" s="6">
        <v>1278</v>
      </c>
      <c r="G14" s="2"/>
    </row>
    <row r="15" spans="1:7" x14ac:dyDescent="0.3">
      <c r="A15" s="11" t="s">
        <v>43</v>
      </c>
      <c r="B15" s="1" t="s">
        <v>44</v>
      </c>
      <c r="C15" s="1" t="s">
        <v>6</v>
      </c>
      <c r="D15" s="1">
        <v>5</v>
      </c>
      <c r="E15" s="6">
        <v>996</v>
      </c>
      <c r="F15" s="6">
        <v>4980</v>
      </c>
      <c r="G15" s="2" t="s">
        <v>15</v>
      </c>
    </row>
    <row r="16" spans="1:7" x14ac:dyDescent="0.3">
      <c r="A16" s="11" t="s">
        <v>43</v>
      </c>
      <c r="B16" s="1" t="s">
        <v>46</v>
      </c>
      <c r="C16" s="1" t="s">
        <v>18</v>
      </c>
      <c r="D16" s="1">
        <v>5</v>
      </c>
      <c r="E16" s="6">
        <v>866</v>
      </c>
      <c r="F16" s="6">
        <v>4330</v>
      </c>
      <c r="G16" s="2" t="s">
        <v>33</v>
      </c>
    </row>
    <row r="17" spans="1:7" x14ac:dyDescent="0.3">
      <c r="A17" s="11"/>
      <c r="B17" s="1" t="s">
        <v>47</v>
      </c>
      <c r="C17" s="1" t="s">
        <v>18</v>
      </c>
      <c r="D17" s="1">
        <v>4</v>
      </c>
      <c r="E17" s="6">
        <v>581</v>
      </c>
      <c r="F17" s="6">
        <v>2324</v>
      </c>
      <c r="G17" s="2" t="s">
        <v>15</v>
      </c>
    </row>
    <row r="18" spans="1:7" x14ac:dyDescent="0.3">
      <c r="A18" s="11" t="s">
        <v>48</v>
      </c>
      <c r="B18" s="1" t="s">
        <v>49</v>
      </c>
      <c r="C18" s="1"/>
      <c r="D18" s="1">
        <v>4</v>
      </c>
      <c r="E18" s="6">
        <v>323</v>
      </c>
      <c r="F18" s="6">
        <v>1292</v>
      </c>
      <c r="G18" s="2" t="s">
        <v>15</v>
      </c>
    </row>
    <row r="19" spans="1:7" x14ac:dyDescent="0.3">
      <c r="A19" s="11" t="s">
        <v>50</v>
      </c>
      <c r="B19" s="1" t="s">
        <v>9</v>
      </c>
      <c r="C19" s="1"/>
      <c r="D19" s="1">
        <v>3</v>
      </c>
      <c r="E19" s="6">
        <v>870</v>
      </c>
      <c r="F19" s="6">
        <v>2610</v>
      </c>
      <c r="G19" s="2" t="s">
        <v>19</v>
      </c>
    </row>
    <row r="20" spans="1:7" x14ac:dyDescent="0.3">
      <c r="A20" s="11" t="s">
        <v>51</v>
      </c>
      <c r="B20" s="1" t="s">
        <v>52</v>
      </c>
      <c r="C20" s="1" t="s">
        <v>10</v>
      </c>
      <c r="D20" s="1">
        <v>2</v>
      </c>
      <c r="E20" s="6">
        <v>134</v>
      </c>
      <c r="F20" s="6">
        <v>268</v>
      </c>
      <c r="G20" s="2" t="s">
        <v>11</v>
      </c>
    </row>
    <row r="21" spans="1:7" x14ac:dyDescent="0.3">
      <c r="A21" s="11" t="s">
        <v>53</v>
      </c>
      <c r="B21" s="1" t="s">
        <v>54</v>
      </c>
      <c r="C21" s="1" t="s">
        <v>30</v>
      </c>
      <c r="D21" s="1">
        <v>6</v>
      </c>
      <c r="E21" s="6">
        <v>794</v>
      </c>
      <c r="F21" s="6">
        <v>4764</v>
      </c>
      <c r="G21" s="2" t="s">
        <v>27</v>
      </c>
    </row>
    <row r="22" spans="1:7" x14ac:dyDescent="0.3">
      <c r="A22" s="11" t="s">
        <v>55</v>
      </c>
      <c r="B22" s="1" t="s">
        <v>56</v>
      </c>
      <c r="C22" s="1" t="s">
        <v>18</v>
      </c>
      <c r="D22" s="1">
        <v>2</v>
      </c>
      <c r="E22" s="6">
        <v>484</v>
      </c>
      <c r="F22" s="6">
        <v>968</v>
      </c>
      <c r="G22" s="2"/>
    </row>
    <row r="23" spans="1:7" x14ac:dyDescent="0.3">
      <c r="A23" s="11" t="s">
        <v>57</v>
      </c>
      <c r="B23" s="1" t="s">
        <v>58</v>
      </c>
      <c r="C23" s="1" t="s">
        <v>30</v>
      </c>
      <c r="D23" s="1">
        <v>5</v>
      </c>
      <c r="E23" s="6">
        <v>130</v>
      </c>
      <c r="F23" s="6">
        <v>650</v>
      </c>
      <c r="G23" s="2" t="s">
        <v>19</v>
      </c>
    </row>
    <row r="24" spans="1:7" x14ac:dyDescent="0.3">
      <c r="A24" s="11" t="s">
        <v>59</v>
      </c>
      <c r="B24" s="1" t="s">
        <v>60</v>
      </c>
      <c r="C24" s="1" t="s">
        <v>38</v>
      </c>
      <c r="D24" s="1">
        <v>4</v>
      </c>
      <c r="E24" s="6">
        <v>490</v>
      </c>
      <c r="F24" s="6">
        <v>1960</v>
      </c>
      <c r="G24" s="2" t="s">
        <v>7</v>
      </c>
    </row>
    <row r="25" spans="1:7" x14ac:dyDescent="0.3">
      <c r="A25" s="11" t="s">
        <v>61</v>
      </c>
      <c r="B25" s="1" t="s">
        <v>62</v>
      </c>
      <c r="C25" s="1" t="s">
        <v>18</v>
      </c>
      <c r="D25" s="1">
        <v>2</v>
      </c>
      <c r="E25" s="6">
        <v>666</v>
      </c>
      <c r="F25" s="6">
        <v>1332</v>
      </c>
      <c r="G25" s="2" t="s">
        <v>11</v>
      </c>
    </row>
    <row r="26" spans="1:7" x14ac:dyDescent="0.3">
      <c r="A26" s="11" t="s">
        <v>63</v>
      </c>
      <c r="B26" s="1" t="s">
        <v>64</v>
      </c>
      <c r="C26" s="1" t="s">
        <v>65</v>
      </c>
      <c r="D26" s="1">
        <v>4</v>
      </c>
      <c r="E26" s="6">
        <v>892</v>
      </c>
      <c r="F26" s="6">
        <v>3568</v>
      </c>
      <c r="G26" s="2" t="s">
        <v>7</v>
      </c>
    </row>
    <row r="27" spans="1:7" x14ac:dyDescent="0.3">
      <c r="A27" s="11" t="s">
        <v>66</v>
      </c>
      <c r="B27" s="1" t="s">
        <v>67</v>
      </c>
      <c r="C27" s="1" t="s">
        <v>68</v>
      </c>
      <c r="D27" s="1">
        <v>1</v>
      </c>
      <c r="E27" s="6">
        <v>234</v>
      </c>
      <c r="F27" s="6">
        <v>234</v>
      </c>
      <c r="G27" s="2" t="s">
        <v>19</v>
      </c>
    </row>
    <row r="28" spans="1:7" x14ac:dyDescent="0.3">
      <c r="A28" s="11" t="s">
        <v>69</v>
      </c>
      <c r="B28" s="1" t="s">
        <v>70</v>
      </c>
      <c r="C28" s="1" t="s">
        <v>14</v>
      </c>
      <c r="D28" s="1">
        <v>3</v>
      </c>
      <c r="E28" s="6">
        <v>608</v>
      </c>
      <c r="F28" s="6">
        <v>1824</v>
      </c>
      <c r="G28" s="2" t="s">
        <v>27</v>
      </c>
    </row>
    <row r="29" spans="1:7" x14ac:dyDescent="0.3">
      <c r="A29" s="11" t="s">
        <v>71</v>
      </c>
      <c r="B29" s="1" t="s">
        <v>72</v>
      </c>
      <c r="C29" s="1" t="s">
        <v>10</v>
      </c>
      <c r="D29" s="1">
        <v>6</v>
      </c>
      <c r="E29" s="6">
        <v>350</v>
      </c>
      <c r="F29" s="6">
        <v>2100</v>
      </c>
      <c r="G29" s="2" t="s">
        <v>7</v>
      </c>
    </row>
    <row r="30" spans="1:7" x14ac:dyDescent="0.3">
      <c r="A30" s="11" t="s">
        <v>73</v>
      </c>
      <c r="B30" s="1" t="s">
        <v>74</v>
      </c>
      <c r="C30" s="1" t="s">
        <v>24</v>
      </c>
      <c r="D30" s="1">
        <v>4</v>
      </c>
      <c r="E30" s="6">
        <v>378</v>
      </c>
      <c r="F30" s="6">
        <v>1512</v>
      </c>
      <c r="G30" s="2" t="s">
        <v>19</v>
      </c>
    </row>
    <row r="31" spans="1:7" x14ac:dyDescent="0.3">
      <c r="A31" s="11" t="s">
        <v>75</v>
      </c>
      <c r="B31" s="1" t="s">
        <v>76</v>
      </c>
      <c r="C31" s="1" t="s">
        <v>38</v>
      </c>
      <c r="D31" s="1">
        <v>6</v>
      </c>
      <c r="E31" s="6">
        <v>155</v>
      </c>
      <c r="F31" s="6">
        <v>930</v>
      </c>
      <c r="G31" s="2" t="s">
        <v>15</v>
      </c>
    </row>
    <row r="32" spans="1:7" x14ac:dyDescent="0.3">
      <c r="A32" s="11" t="s">
        <v>77</v>
      </c>
      <c r="B32" s="1" t="s">
        <v>78</v>
      </c>
      <c r="C32" s="1" t="s">
        <v>79</v>
      </c>
      <c r="D32" s="1">
        <v>4</v>
      </c>
      <c r="E32" s="6">
        <v>131</v>
      </c>
      <c r="F32" s="6">
        <v>524</v>
      </c>
      <c r="G32" s="2" t="s">
        <v>27</v>
      </c>
    </row>
    <row r="33" spans="1:7" x14ac:dyDescent="0.3">
      <c r="A33" s="11" t="s">
        <v>43</v>
      </c>
      <c r="B33" s="1" t="s">
        <v>80</v>
      </c>
      <c r="C33" s="1" t="s">
        <v>14</v>
      </c>
      <c r="D33" s="1">
        <v>4</v>
      </c>
      <c r="E33" s="6">
        <v>385</v>
      </c>
      <c r="F33" s="6">
        <v>1540</v>
      </c>
      <c r="G33" s="2" t="s">
        <v>33</v>
      </c>
    </row>
    <row r="34" spans="1:7" x14ac:dyDescent="0.3">
      <c r="A34" s="11" t="s">
        <v>81</v>
      </c>
      <c r="B34" s="1" t="s">
        <v>82</v>
      </c>
      <c r="C34" s="1" t="s">
        <v>24</v>
      </c>
      <c r="D34" s="1">
        <v>6</v>
      </c>
      <c r="E34" s="6">
        <v>726</v>
      </c>
      <c r="F34" s="6">
        <v>4356</v>
      </c>
      <c r="G34" s="2" t="s">
        <v>15</v>
      </c>
    </row>
    <row r="35" spans="1:7" x14ac:dyDescent="0.3">
      <c r="A35" s="11" t="s">
        <v>83</v>
      </c>
      <c r="B35" s="1" t="s">
        <v>84</v>
      </c>
      <c r="C35" s="1" t="s">
        <v>18</v>
      </c>
      <c r="D35" s="1">
        <v>6</v>
      </c>
      <c r="E35" s="6">
        <v>352</v>
      </c>
      <c r="F35" s="6">
        <v>2112</v>
      </c>
      <c r="G35" s="2" t="s">
        <v>27</v>
      </c>
    </row>
    <row r="36" spans="1:7" x14ac:dyDescent="0.3">
      <c r="A36" s="11" t="s">
        <v>85</v>
      </c>
      <c r="B36" s="1" t="s">
        <v>86</v>
      </c>
      <c r="C36" s="1"/>
      <c r="D36" s="1">
        <v>2</v>
      </c>
      <c r="E36" s="6">
        <v>363</v>
      </c>
      <c r="F36" s="6">
        <v>726</v>
      </c>
      <c r="G36" s="2" t="s">
        <v>27</v>
      </c>
    </row>
    <row r="37" spans="1:7" x14ac:dyDescent="0.3">
      <c r="A37" s="11" t="s">
        <v>87</v>
      </c>
      <c r="B37" s="1" t="s">
        <v>88</v>
      </c>
      <c r="C37" s="1" t="s">
        <v>6</v>
      </c>
      <c r="D37" s="1">
        <v>4</v>
      </c>
      <c r="E37" s="6">
        <v>506</v>
      </c>
      <c r="F37" s="6">
        <v>2024</v>
      </c>
      <c r="G37" s="2" t="s">
        <v>11</v>
      </c>
    </row>
    <row r="38" spans="1:7" x14ac:dyDescent="0.3">
      <c r="A38" s="11" t="s">
        <v>89</v>
      </c>
      <c r="B38" s="1" t="s">
        <v>90</v>
      </c>
      <c r="C38" s="1" t="s">
        <v>6</v>
      </c>
      <c r="D38" s="1">
        <v>1</v>
      </c>
      <c r="E38" s="6">
        <v>667</v>
      </c>
      <c r="F38" s="6">
        <v>667</v>
      </c>
      <c r="G38" s="2" t="s">
        <v>27</v>
      </c>
    </row>
    <row r="39" spans="1:7" x14ac:dyDescent="0.3">
      <c r="A39" s="11" t="s">
        <v>91</v>
      </c>
      <c r="B39" s="1" t="s">
        <v>92</v>
      </c>
      <c r="C39" s="1" t="s">
        <v>38</v>
      </c>
      <c r="D39" s="1">
        <v>2</v>
      </c>
      <c r="E39" s="6">
        <v>784</v>
      </c>
      <c r="F39" s="6">
        <v>1568</v>
      </c>
      <c r="G39" s="2" t="s">
        <v>11</v>
      </c>
    </row>
    <row r="40" spans="1:7" x14ac:dyDescent="0.3">
      <c r="A40" s="11" t="s">
        <v>93</v>
      </c>
      <c r="B40" s="1" t="s">
        <v>94</v>
      </c>
      <c r="C40" s="1" t="s">
        <v>6</v>
      </c>
      <c r="D40" s="1">
        <v>5</v>
      </c>
      <c r="E40" s="6">
        <v>486</v>
      </c>
      <c r="F40" s="6">
        <v>2430</v>
      </c>
      <c r="G40" s="2"/>
    </row>
    <row r="41" spans="1:7" x14ac:dyDescent="0.3">
      <c r="A41" s="11" t="s">
        <v>95</v>
      </c>
      <c r="B41" s="1" t="s">
        <v>96</v>
      </c>
      <c r="C41" s="1" t="s">
        <v>79</v>
      </c>
      <c r="D41" s="1">
        <v>5</v>
      </c>
      <c r="E41" s="6">
        <v>220</v>
      </c>
      <c r="F41" s="6">
        <v>1100</v>
      </c>
      <c r="G41" s="2"/>
    </row>
    <row r="42" spans="1:7" x14ac:dyDescent="0.3">
      <c r="A42" s="11"/>
      <c r="B42" s="1" t="s">
        <v>97</v>
      </c>
      <c r="C42" s="1" t="s">
        <v>79</v>
      </c>
      <c r="D42" s="1">
        <v>3</v>
      </c>
      <c r="E42" s="6">
        <v>756</v>
      </c>
      <c r="F42" s="6">
        <v>2268</v>
      </c>
      <c r="G42" s="2" t="s">
        <v>7</v>
      </c>
    </row>
    <row r="43" spans="1:7" x14ac:dyDescent="0.3">
      <c r="A43" s="11" t="s">
        <v>98</v>
      </c>
      <c r="B43" s="1" t="s">
        <v>99</v>
      </c>
      <c r="C43" s="1" t="s">
        <v>68</v>
      </c>
      <c r="D43" s="1">
        <v>1</v>
      </c>
      <c r="E43" s="6">
        <v>504</v>
      </c>
      <c r="F43" s="6">
        <v>504</v>
      </c>
      <c r="G43" s="2" t="s">
        <v>27</v>
      </c>
    </row>
    <row r="44" spans="1:7" x14ac:dyDescent="0.3">
      <c r="A44" s="11" t="s">
        <v>100</v>
      </c>
      <c r="B44" s="1" t="s">
        <v>101</v>
      </c>
      <c r="C44" s="1" t="s">
        <v>14</v>
      </c>
      <c r="D44" s="1">
        <v>4</v>
      </c>
      <c r="E44" s="6">
        <v>409</v>
      </c>
      <c r="F44" s="6">
        <v>1636</v>
      </c>
      <c r="G44" s="2" t="s">
        <v>11</v>
      </c>
    </row>
    <row r="45" spans="1:7" x14ac:dyDescent="0.3">
      <c r="A45" s="11" t="s">
        <v>102</v>
      </c>
      <c r="B45" s="1" t="s">
        <v>103</v>
      </c>
      <c r="C45" s="1" t="s">
        <v>10</v>
      </c>
      <c r="D45" s="1">
        <v>1</v>
      </c>
      <c r="E45" s="6">
        <v>507</v>
      </c>
      <c r="F45" s="6">
        <v>507</v>
      </c>
      <c r="G45" s="2" t="s">
        <v>33</v>
      </c>
    </row>
    <row r="46" spans="1:7" x14ac:dyDescent="0.3">
      <c r="A46" s="11" t="s">
        <v>104</v>
      </c>
      <c r="B46" s="1" t="s">
        <v>105</v>
      </c>
      <c r="C46" s="1" t="s">
        <v>65</v>
      </c>
      <c r="D46" s="1">
        <v>5</v>
      </c>
      <c r="E46" s="6">
        <v>93</v>
      </c>
      <c r="F46" s="6">
        <v>465</v>
      </c>
      <c r="G46" s="2" t="s">
        <v>15</v>
      </c>
    </row>
    <row r="47" spans="1:7" x14ac:dyDescent="0.3">
      <c r="A47" s="11" t="s">
        <v>106</v>
      </c>
      <c r="B47" s="1" t="s">
        <v>107</v>
      </c>
      <c r="C47" s="1" t="s">
        <v>30</v>
      </c>
      <c r="D47" s="1">
        <v>4</v>
      </c>
      <c r="E47" s="6">
        <v>0</v>
      </c>
      <c r="F47" s="6">
        <v>0</v>
      </c>
      <c r="G47" s="2" t="s">
        <v>27</v>
      </c>
    </row>
    <row r="48" spans="1:7" x14ac:dyDescent="0.3">
      <c r="A48" s="11" t="s">
        <v>108</v>
      </c>
      <c r="B48" s="1" t="s">
        <v>109</v>
      </c>
      <c r="C48" s="1"/>
      <c r="D48" s="1">
        <v>1</v>
      </c>
      <c r="E48" s="6">
        <v>940</v>
      </c>
      <c r="F48" s="6">
        <v>940</v>
      </c>
      <c r="G48" s="2" t="s">
        <v>19</v>
      </c>
    </row>
    <row r="49" spans="1:7" x14ac:dyDescent="0.3">
      <c r="A49" s="11" t="s">
        <v>110</v>
      </c>
      <c r="B49" s="1" t="s">
        <v>111</v>
      </c>
      <c r="C49" s="1" t="s">
        <v>38</v>
      </c>
      <c r="D49" s="1">
        <v>6</v>
      </c>
      <c r="E49" s="6">
        <v>983</v>
      </c>
      <c r="F49" s="6">
        <v>5898</v>
      </c>
      <c r="G49" s="2" t="s">
        <v>15</v>
      </c>
    </row>
    <row r="50" spans="1:7" x14ac:dyDescent="0.3">
      <c r="A50" s="11" t="s">
        <v>112</v>
      </c>
      <c r="B50" s="1" t="s">
        <v>113</v>
      </c>
      <c r="C50" s="1" t="s">
        <v>6</v>
      </c>
      <c r="D50" s="1">
        <v>2</v>
      </c>
      <c r="E50" s="6">
        <v>411</v>
      </c>
      <c r="F50" s="6">
        <v>822</v>
      </c>
      <c r="G50" s="2" t="s">
        <v>11</v>
      </c>
    </row>
    <row r="51" spans="1:7" x14ac:dyDescent="0.3">
      <c r="A51" s="11" t="s">
        <v>114</v>
      </c>
      <c r="B51" s="1" t="s">
        <v>115</v>
      </c>
      <c r="C51" s="1"/>
      <c r="D51" s="1">
        <v>4</v>
      </c>
      <c r="E51" s="6">
        <v>679</v>
      </c>
      <c r="F51" s="6">
        <v>2716</v>
      </c>
      <c r="G51" s="2" t="s">
        <v>33</v>
      </c>
    </row>
    <row r="52" spans="1:7" x14ac:dyDescent="0.3">
      <c r="A52" s="11" t="s">
        <v>116</v>
      </c>
      <c r="B52" s="1" t="s">
        <v>117</v>
      </c>
      <c r="C52" s="1" t="s">
        <v>14</v>
      </c>
      <c r="D52" s="1">
        <v>6</v>
      </c>
      <c r="E52" s="6">
        <v>495</v>
      </c>
      <c r="F52" s="6">
        <v>2970</v>
      </c>
      <c r="G52" s="2"/>
    </row>
    <row r="53" spans="1:7" x14ac:dyDescent="0.3">
      <c r="A53" s="11" t="s">
        <v>118</v>
      </c>
      <c r="B53" s="1" t="s">
        <v>119</v>
      </c>
      <c r="C53" s="1" t="s">
        <v>68</v>
      </c>
      <c r="D53" s="1">
        <v>2</v>
      </c>
      <c r="E53" s="6">
        <v>331</v>
      </c>
      <c r="F53" s="6">
        <v>662</v>
      </c>
      <c r="G53" s="2" t="s">
        <v>19</v>
      </c>
    </row>
    <row r="54" spans="1:7" x14ac:dyDescent="0.3">
      <c r="A54" s="11"/>
      <c r="B54" s="1" t="s">
        <v>120</v>
      </c>
      <c r="C54" s="1" t="s">
        <v>79</v>
      </c>
      <c r="D54" s="1">
        <v>1</v>
      </c>
      <c r="E54" s="6">
        <v>704</v>
      </c>
      <c r="F54" s="6">
        <v>704</v>
      </c>
      <c r="G54" s="2" t="s">
        <v>7</v>
      </c>
    </row>
    <row r="55" spans="1:7" x14ac:dyDescent="0.3">
      <c r="A55" s="11" t="s">
        <v>121</v>
      </c>
      <c r="B55" s="1" t="s">
        <v>122</v>
      </c>
      <c r="C55" s="1" t="s">
        <v>68</v>
      </c>
      <c r="D55" s="1">
        <v>4</v>
      </c>
      <c r="E55" s="6">
        <v>860</v>
      </c>
      <c r="F55" s="6">
        <v>3440</v>
      </c>
      <c r="G55" s="2" t="s">
        <v>11</v>
      </c>
    </row>
    <row r="56" spans="1:7" x14ac:dyDescent="0.3">
      <c r="A56" s="11" t="s">
        <v>123</v>
      </c>
      <c r="B56" s="1" t="s">
        <v>124</v>
      </c>
      <c r="C56" s="1" t="s">
        <v>18</v>
      </c>
      <c r="D56" s="1">
        <v>0</v>
      </c>
      <c r="E56" s="6">
        <v>108</v>
      </c>
      <c r="F56" s="6">
        <v>0</v>
      </c>
      <c r="G56" s="2" t="s">
        <v>15</v>
      </c>
    </row>
    <row r="57" spans="1:7" x14ac:dyDescent="0.3">
      <c r="A57" s="11" t="s">
        <v>125</v>
      </c>
      <c r="B57" s="1" t="s">
        <v>126</v>
      </c>
      <c r="C57" s="1" t="s">
        <v>6</v>
      </c>
      <c r="D57" s="1">
        <v>3</v>
      </c>
      <c r="E57" s="6">
        <v>126</v>
      </c>
      <c r="F57" s="6">
        <v>378</v>
      </c>
      <c r="G57" s="2" t="s">
        <v>7</v>
      </c>
    </row>
    <row r="58" spans="1:7" x14ac:dyDescent="0.3">
      <c r="A58" s="11" t="s">
        <v>127</v>
      </c>
      <c r="B58" s="1" t="s">
        <v>128</v>
      </c>
      <c r="C58" s="1" t="s">
        <v>10</v>
      </c>
      <c r="D58" s="1">
        <v>5</v>
      </c>
      <c r="E58" s="6">
        <v>737</v>
      </c>
      <c r="F58" s="6">
        <v>3685</v>
      </c>
      <c r="G58" s="2" t="s">
        <v>7</v>
      </c>
    </row>
    <row r="59" spans="1:7" x14ac:dyDescent="0.3">
      <c r="A59" s="11" t="s">
        <v>129</v>
      </c>
      <c r="B59" s="1" t="s">
        <v>130</v>
      </c>
      <c r="C59" s="1" t="s">
        <v>18</v>
      </c>
      <c r="D59" s="1">
        <v>6</v>
      </c>
      <c r="E59" s="6">
        <v>702</v>
      </c>
      <c r="F59" s="6">
        <v>4212</v>
      </c>
      <c r="G59" s="2" t="s">
        <v>11</v>
      </c>
    </row>
    <row r="60" spans="1:7" x14ac:dyDescent="0.3">
      <c r="A60" s="11" t="s">
        <v>131</v>
      </c>
      <c r="B60" s="1" t="s">
        <v>132</v>
      </c>
      <c r="C60" s="1" t="s">
        <v>14</v>
      </c>
      <c r="D60" s="1">
        <v>4</v>
      </c>
      <c r="E60" s="6">
        <v>465</v>
      </c>
      <c r="F60" s="6">
        <v>1860</v>
      </c>
      <c r="G60" s="2" t="s">
        <v>15</v>
      </c>
    </row>
    <row r="61" spans="1:7" x14ac:dyDescent="0.3">
      <c r="A61" s="11"/>
      <c r="B61" s="1" t="s">
        <v>133</v>
      </c>
      <c r="C61" s="1" t="s">
        <v>6</v>
      </c>
      <c r="D61" s="1">
        <v>6</v>
      </c>
      <c r="E61" s="6">
        <v>422</v>
      </c>
      <c r="F61" s="6">
        <v>2532</v>
      </c>
      <c r="G61" s="2" t="s">
        <v>11</v>
      </c>
    </row>
    <row r="62" spans="1:7" x14ac:dyDescent="0.3">
      <c r="A62" s="11" t="s">
        <v>134</v>
      </c>
      <c r="B62" s="1" t="s">
        <v>135</v>
      </c>
      <c r="C62" s="1"/>
      <c r="D62" s="1">
        <v>1</v>
      </c>
      <c r="E62" s="6">
        <v>575</v>
      </c>
      <c r="F62" s="6">
        <v>575</v>
      </c>
      <c r="G62" s="2" t="s">
        <v>19</v>
      </c>
    </row>
    <row r="63" spans="1:7" x14ac:dyDescent="0.3">
      <c r="A63" s="11" t="s">
        <v>136</v>
      </c>
      <c r="B63" s="1" t="s">
        <v>137</v>
      </c>
      <c r="C63" s="1"/>
      <c r="D63" s="1">
        <v>3</v>
      </c>
      <c r="E63" s="6">
        <v>870</v>
      </c>
      <c r="F63" s="6">
        <v>2610</v>
      </c>
      <c r="G63" s="2" t="s">
        <v>19</v>
      </c>
    </row>
    <row r="64" spans="1:7" x14ac:dyDescent="0.3">
      <c r="A64" s="11" t="s">
        <v>138</v>
      </c>
      <c r="B64" s="1" t="s">
        <v>139</v>
      </c>
      <c r="C64" s="1" t="s">
        <v>38</v>
      </c>
      <c r="D64" s="1">
        <v>6</v>
      </c>
      <c r="E64" s="6">
        <v>817</v>
      </c>
      <c r="F64" s="6">
        <v>4902</v>
      </c>
      <c r="G64" s="2" t="s">
        <v>33</v>
      </c>
    </row>
    <row r="65" spans="1:7" x14ac:dyDescent="0.3">
      <c r="A65" s="11" t="s">
        <v>140</v>
      </c>
      <c r="B65" s="1" t="s">
        <v>141</v>
      </c>
      <c r="C65" s="1" t="s">
        <v>14</v>
      </c>
      <c r="D65" s="1">
        <v>5</v>
      </c>
      <c r="E65" s="6">
        <v>745</v>
      </c>
      <c r="F65" s="6">
        <v>3725</v>
      </c>
      <c r="G65" s="2" t="s">
        <v>27</v>
      </c>
    </row>
    <row r="66" spans="1:7" x14ac:dyDescent="0.3">
      <c r="A66" s="11" t="s">
        <v>142</v>
      </c>
      <c r="B66" s="1" t="s">
        <v>143</v>
      </c>
      <c r="C66" s="1" t="s">
        <v>65</v>
      </c>
      <c r="D66" s="1">
        <v>4</v>
      </c>
      <c r="E66" s="6">
        <v>0</v>
      </c>
      <c r="F66" s="6">
        <v>0</v>
      </c>
      <c r="G66" s="2" t="s">
        <v>33</v>
      </c>
    </row>
    <row r="67" spans="1:7" x14ac:dyDescent="0.3">
      <c r="A67" s="11" t="s">
        <v>144</v>
      </c>
      <c r="B67" s="1" t="s">
        <v>145</v>
      </c>
      <c r="C67" s="1" t="s">
        <v>79</v>
      </c>
      <c r="D67" s="1">
        <v>3</v>
      </c>
      <c r="E67" s="6">
        <v>81</v>
      </c>
      <c r="F67" s="6">
        <v>243</v>
      </c>
      <c r="G67" s="2" t="s">
        <v>7</v>
      </c>
    </row>
    <row r="68" spans="1:7" x14ac:dyDescent="0.3">
      <c r="A68" s="11" t="s">
        <v>146</v>
      </c>
      <c r="B68" s="1" t="s">
        <v>147</v>
      </c>
      <c r="C68" s="1" t="s">
        <v>24</v>
      </c>
      <c r="D68" s="1">
        <v>6</v>
      </c>
      <c r="E68" s="6">
        <v>196</v>
      </c>
      <c r="F68" s="6">
        <v>1176</v>
      </c>
      <c r="G68" s="2" t="s">
        <v>33</v>
      </c>
    </row>
    <row r="69" spans="1:7" x14ac:dyDescent="0.3">
      <c r="A69" s="11" t="s">
        <v>148</v>
      </c>
      <c r="B69" s="1" t="s">
        <v>149</v>
      </c>
      <c r="C69" s="1" t="s">
        <v>79</v>
      </c>
      <c r="D69" s="1">
        <v>6</v>
      </c>
      <c r="E69" s="6">
        <v>919</v>
      </c>
      <c r="F69" s="6">
        <v>5514</v>
      </c>
      <c r="G69" s="2" t="s">
        <v>27</v>
      </c>
    </row>
    <row r="70" spans="1:7" x14ac:dyDescent="0.3">
      <c r="A70" s="11" t="s">
        <v>150</v>
      </c>
      <c r="B70" s="1" t="s">
        <v>151</v>
      </c>
      <c r="C70" s="1" t="s">
        <v>79</v>
      </c>
      <c r="D70" s="1">
        <v>4</v>
      </c>
      <c r="E70" s="6">
        <v>672</v>
      </c>
      <c r="F70" s="6">
        <v>2688</v>
      </c>
      <c r="G70" s="2"/>
    </row>
    <row r="71" spans="1:7" x14ac:dyDescent="0.3">
      <c r="A71" s="11" t="s">
        <v>63</v>
      </c>
      <c r="B71" s="1" t="s">
        <v>152</v>
      </c>
      <c r="C71" s="1"/>
      <c r="D71" s="1">
        <v>5</v>
      </c>
      <c r="E71" s="6">
        <v>744</v>
      </c>
      <c r="F71" s="6">
        <v>3720</v>
      </c>
      <c r="G71" s="2" t="s">
        <v>15</v>
      </c>
    </row>
    <row r="72" spans="1:7" x14ac:dyDescent="0.3">
      <c r="A72" s="11" t="s">
        <v>153</v>
      </c>
      <c r="B72" s="1" t="s">
        <v>154</v>
      </c>
      <c r="C72" s="1" t="s">
        <v>14</v>
      </c>
      <c r="D72" s="1">
        <v>1</v>
      </c>
      <c r="E72" s="6">
        <v>850</v>
      </c>
      <c r="F72" s="6">
        <v>850</v>
      </c>
      <c r="G72" s="2" t="s">
        <v>19</v>
      </c>
    </row>
    <row r="73" spans="1:7" x14ac:dyDescent="0.3">
      <c r="A73" s="11" t="s">
        <v>53</v>
      </c>
      <c r="B73" s="1" t="s">
        <v>155</v>
      </c>
      <c r="C73" s="1" t="s">
        <v>6</v>
      </c>
      <c r="D73" s="1">
        <v>5</v>
      </c>
      <c r="E73" s="6">
        <v>498</v>
      </c>
      <c r="F73" s="6">
        <v>2490</v>
      </c>
      <c r="G73" s="2" t="s">
        <v>27</v>
      </c>
    </row>
    <row r="74" spans="1:7" x14ac:dyDescent="0.3">
      <c r="A74" s="11" t="s">
        <v>156</v>
      </c>
      <c r="B74" s="1" t="s">
        <v>157</v>
      </c>
      <c r="C74" s="1" t="s">
        <v>68</v>
      </c>
      <c r="D74" s="1">
        <v>1</v>
      </c>
      <c r="E74" s="6">
        <v>85</v>
      </c>
      <c r="F74" s="6">
        <v>85</v>
      </c>
      <c r="G74" s="2" t="s">
        <v>19</v>
      </c>
    </row>
    <row r="75" spans="1:7" x14ac:dyDescent="0.3">
      <c r="A75" s="11" t="s">
        <v>158</v>
      </c>
      <c r="B75" s="1" t="s">
        <v>159</v>
      </c>
      <c r="C75" s="1" t="s">
        <v>24</v>
      </c>
      <c r="D75" s="1">
        <v>2</v>
      </c>
      <c r="E75" s="6">
        <v>179</v>
      </c>
      <c r="F75" s="6">
        <v>358</v>
      </c>
      <c r="G75" s="2" t="s">
        <v>19</v>
      </c>
    </row>
    <row r="76" spans="1:7" x14ac:dyDescent="0.3">
      <c r="A76" s="11"/>
      <c r="B76" s="1" t="s">
        <v>160</v>
      </c>
      <c r="C76" s="1" t="s">
        <v>30</v>
      </c>
      <c r="D76" s="1">
        <v>6</v>
      </c>
      <c r="E76" s="6">
        <v>118</v>
      </c>
      <c r="F76" s="6">
        <v>708</v>
      </c>
      <c r="G76" s="2" t="s">
        <v>19</v>
      </c>
    </row>
    <row r="77" spans="1:7" x14ac:dyDescent="0.3">
      <c r="A77" s="11" t="s">
        <v>41</v>
      </c>
      <c r="B77" s="1" t="s">
        <v>161</v>
      </c>
      <c r="C77" s="1" t="s">
        <v>18</v>
      </c>
      <c r="D77" s="1" t="e">
        <v>#DIV/0!</v>
      </c>
      <c r="E77" s="6" t="e">
        <v>#DIV/0!</v>
      </c>
      <c r="F77" s="6">
        <v>1746</v>
      </c>
      <c r="G77" s="2" t="s">
        <v>11</v>
      </c>
    </row>
    <row r="78" spans="1:7" x14ac:dyDescent="0.3">
      <c r="A78" s="11" t="s">
        <v>162</v>
      </c>
      <c r="B78" s="1" t="s">
        <v>163</v>
      </c>
      <c r="C78" s="1"/>
      <c r="D78" s="1">
        <v>3</v>
      </c>
      <c r="E78" s="6">
        <v>847</v>
      </c>
      <c r="F78" s="6">
        <v>2541</v>
      </c>
      <c r="G78" s="2" t="s">
        <v>27</v>
      </c>
    </row>
    <row r="79" spans="1:7" x14ac:dyDescent="0.3">
      <c r="A79" s="11" t="s">
        <v>164</v>
      </c>
      <c r="B79" s="1" t="s">
        <v>165</v>
      </c>
      <c r="C79" s="1" t="s">
        <v>65</v>
      </c>
      <c r="D79" s="1">
        <v>2</v>
      </c>
      <c r="E79" s="6">
        <v>710</v>
      </c>
      <c r="F79" s="6">
        <v>1420</v>
      </c>
      <c r="G79" s="2" t="s">
        <v>7</v>
      </c>
    </row>
    <row r="80" spans="1:7" x14ac:dyDescent="0.3">
      <c r="A80" s="11" t="s">
        <v>166</v>
      </c>
      <c r="B80" s="1" t="s">
        <v>167</v>
      </c>
      <c r="C80" s="1" t="s">
        <v>38</v>
      </c>
      <c r="D80" s="1" t="e">
        <v>#DIV/0!</v>
      </c>
      <c r="E80" s="6" t="e">
        <v>#DIV/0!</v>
      </c>
      <c r="F80" s="6">
        <v>2550</v>
      </c>
      <c r="G80" s="2" t="s">
        <v>27</v>
      </c>
    </row>
    <row r="81" spans="1:7" x14ac:dyDescent="0.3">
      <c r="A81" s="11" t="s">
        <v>168</v>
      </c>
      <c r="B81" s="1" t="s">
        <v>169</v>
      </c>
      <c r="C81" s="1" t="s">
        <v>14</v>
      </c>
      <c r="D81" s="1">
        <v>1</v>
      </c>
      <c r="E81" s="6">
        <v>420</v>
      </c>
      <c r="F81" s="6">
        <v>420</v>
      </c>
      <c r="G81" s="2" t="s">
        <v>7</v>
      </c>
    </row>
    <row r="82" spans="1:7" x14ac:dyDescent="0.3">
      <c r="A82" s="11"/>
      <c r="B82" s="1" t="s">
        <v>170</v>
      </c>
      <c r="C82" s="1" t="s">
        <v>30</v>
      </c>
      <c r="D82" s="1">
        <v>4</v>
      </c>
      <c r="E82" s="6">
        <v>442</v>
      </c>
      <c r="F82" s="6">
        <v>1768</v>
      </c>
      <c r="G82" s="2" t="s">
        <v>27</v>
      </c>
    </row>
    <row r="83" spans="1:7" x14ac:dyDescent="0.3">
      <c r="A83" s="11" t="s">
        <v>171</v>
      </c>
      <c r="B83" s="1" t="s">
        <v>172</v>
      </c>
      <c r="C83" s="1" t="s">
        <v>18</v>
      </c>
      <c r="D83" s="1">
        <v>1</v>
      </c>
      <c r="E83" s="6">
        <v>630</v>
      </c>
      <c r="F83" s="6">
        <v>630</v>
      </c>
      <c r="G83" s="2" t="s">
        <v>27</v>
      </c>
    </row>
    <row r="84" spans="1:7" x14ac:dyDescent="0.3">
      <c r="A84" s="11" t="s">
        <v>173</v>
      </c>
      <c r="B84" s="1" t="s">
        <v>174</v>
      </c>
      <c r="C84" s="1" t="s">
        <v>79</v>
      </c>
      <c r="D84" s="1">
        <v>6</v>
      </c>
      <c r="E84" s="6">
        <v>83</v>
      </c>
      <c r="F84" s="6">
        <v>498</v>
      </c>
      <c r="G84" s="2" t="s">
        <v>19</v>
      </c>
    </row>
    <row r="85" spans="1:7" x14ac:dyDescent="0.3">
      <c r="A85" s="11" t="s">
        <v>175</v>
      </c>
      <c r="B85" s="1" t="s">
        <v>176</v>
      </c>
      <c r="C85" s="1" t="s">
        <v>10</v>
      </c>
      <c r="D85" s="1">
        <v>6</v>
      </c>
      <c r="E85" s="6">
        <v>669</v>
      </c>
      <c r="F85" s="6">
        <v>4014</v>
      </c>
      <c r="G85" s="2" t="s">
        <v>7</v>
      </c>
    </row>
    <row r="86" spans="1:7" x14ac:dyDescent="0.3">
      <c r="A86" s="11" t="s">
        <v>177</v>
      </c>
      <c r="B86" s="1" t="s">
        <v>178</v>
      </c>
      <c r="C86" s="1" t="s">
        <v>18</v>
      </c>
      <c r="D86" s="1">
        <v>1</v>
      </c>
      <c r="E86" s="6">
        <v>207</v>
      </c>
      <c r="F86" s="6">
        <v>207</v>
      </c>
      <c r="G86" s="2" t="s">
        <v>33</v>
      </c>
    </row>
    <row r="87" spans="1:7" x14ac:dyDescent="0.3">
      <c r="A87" s="11" t="s">
        <v>179</v>
      </c>
      <c r="B87" s="1" t="s">
        <v>180</v>
      </c>
      <c r="C87" s="1" t="s">
        <v>10</v>
      </c>
      <c r="D87" s="1">
        <v>4</v>
      </c>
      <c r="E87" s="6">
        <v>745</v>
      </c>
      <c r="F87" s="6">
        <v>2980</v>
      </c>
      <c r="G87" s="2" t="s">
        <v>7</v>
      </c>
    </row>
    <row r="88" spans="1:7" x14ac:dyDescent="0.3">
      <c r="A88" s="11" t="s">
        <v>181</v>
      </c>
      <c r="B88" s="1" t="s">
        <v>182</v>
      </c>
      <c r="C88" s="1" t="s">
        <v>79</v>
      </c>
      <c r="D88" s="1">
        <v>2</v>
      </c>
      <c r="E88" s="6">
        <v>0</v>
      </c>
      <c r="F88" s="6">
        <v>0</v>
      </c>
      <c r="G88" s="2" t="s">
        <v>7</v>
      </c>
    </row>
    <row r="89" spans="1:7" x14ac:dyDescent="0.3">
      <c r="A89" s="11" t="s">
        <v>20</v>
      </c>
      <c r="B89" s="1" t="s">
        <v>183</v>
      </c>
      <c r="C89" s="1" t="s">
        <v>38</v>
      </c>
      <c r="D89" s="1" t="e">
        <v>#DIV/0!</v>
      </c>
      <c r="E89" s="6" t="e">
        <v>#DIV/0!</v>
      </c>
      <c r="F89" s="6" t="e">
        <v>#DIV/0!</v>
      </c>
      <c r="G89" s="2" t="s">
        <v>27</v>
      </c>
    </row>
    <row r="90" spans="1:7" x14ac:dyDescent="0.3">
      <c r="A90" s="11" t="s">
        <v>184</v>
      </c>
      <c r="B90" s="1" t="s">
        <v>185</v>
      </c>
      <c r="C90" s="1" t="s">
        <v>14</v>
      </c>
      <c r="D90" s="1">
        <v>3</v>
      </c>
      <c r="E90" s="6">
        <v>430</v>
      </c>
      <c r="F90" s="6">
        <v>1290</v>
      </c>
      <c r="G90" s="2" t="s">
        <v>7</v>
      </c>
    </row>
    <row r="91" spans="1:7" x14ac:dyDescent="0.3">
      <c r="A91" s="11" t="s">
        <v>66</v>
      </c>
      <c r="B91" s="1" t="s">
        <v>186</v>
      </c>
      <c r="C91" s="1" t="s">
        <v>6</v>
      </c>
      <c r="D91" s="1">
        <v>1</v>
      </c>
      <c r="E91" s="6">
        <v>504</v>
      </c>
      <c r="F91" s="6">
        <v>504</v>
      </c>
      <c r="G91" s="2"/>
    </row>
    <row r="92" spans="1:7" x14ac:dyDescent="0.3">
      <c r="A92" s="11" t="s">
        <v>187</v>
      </c>
      <c r="B92" s="1" t="s">
        <v>188</v>
      </c>
      <c r="C92" s="1" t="s">
        <v>18</v>
      </c>
      <c r="D92" s="1">
        <v>1</v>
      </c>
      <c r="E92" s="6">
        <v>831</v>
      </c>
      <c r="F92" s="6">
        <v>831</v>
      </c>
      <c r="G92" s="2" t="s">
        <v>33</v>
      </c>
    </row>
    <row r="93" spans="1:7" x14ac:dyDescent="0.3">
      <c r="A93" s="11" t="s">
        <v>189</v>
      </c>
      <c r="B93" s="1" t="s">
        <v>190</v>
      </c>
      <c r="C93" s="1" t="s">
        <v>68</v>
      </c>
      <c r="D93" s="1">
        <v>3</v>
      </c>
      <c r="E93" s="6">
        <v>128</v>
      </c>
      <c r="F93" s="6">
        <v>384</v>
      </c>
      <c r="G93" s="2" t="s">
        <v>11</v>
      </c>
    </row>
    <row r="94" spans="1:7" x14ac:dyDescent="0.3">
      <c r="A94" s="11" t="s">
        <v>191</v>
      </c>
      <c r="B94" s="1" t="s">
        <v>192</v>
      </c>
      <c r="C94" s="1" t="s">
        <v>79</v>
      </c>
      <c r="D94" s="1">
        <v>1</v>
      </c>
      <c r="E94" s="6">
        <v>637</v>
      </c>
      <c r="F94" s="6">
        <v>637</v>
      </c>
      <c r="G94" s="2" t="s">
        <v>19</v>
      </c>
    </row>
    <row r="95" spans="1:7" x14ac:dyDescent="0.3">
      <c r="A95" s="11" t="s">
        <v>193</v>
      </c>
      <c r="B95" s="1" t="s">
        <v>194</v>
      </c>
      <c r="C95" s="1" t="s">
        <v>18</v>
      </c>
      <c r="D95" s="1">
        <v>3</v>
      </c>
      <c r="E95" s="6">
        <v>190</v>
      </c>
      <c r="F95" s="6">
        <v>570</v>
      </c>
      <c r="G95" s="2" t="s">
        <v>15</v>
      </c>
    </row>
    <row r="96" spans="1:7" x14ac:dyDescent="0.3">
      <c r="A96" s="11"/>
      <c r="B96" s="1" t="s">
        <v>195</v>
      </c>
      <c r="C96" s="1" t="s">
        <v>65</v>
      </c>
      <c r="D96" s="1">
        <v>3</v>
      </c>
      <c r="E96" s="6">
        <v>592</v>
      </c>
      <c r="F96" s="6">
        <v>1776</v>
      </c>
      <c r="G96" s="2" t="s">
        <v>11</v>
      </c>
    </row>
    <row r="97" spans="1:7" x14ac:dyDescent="0.3">
      <c r="A97" s="11" t="s">
        <v>196</v>
      </c>
      <c r="B97" s="1" t="s">
        <v>197</v>
      </c>
      <c r="C97" s="1" t="s">
        <v>38</v>
      </c>
      <c r="D97" s="1" t="e">
        <v>#DIV/0!</v>
      </c>
      <c r="E97" s="6" t="e">
        <v>#DIV/0!</v>
      </c>
      <c r="F97" s="6">
        <v>1275</v>
      </c>
      <c r="G97" s="2" t="s">
        <v>7</v>
      </c>
    </row>
    <row r="98" spans="1:7" x14ac:dyDescent="0.3">
      <c r="A98" s="11" t="s">
        <v>198</v>
      </c>
      <c r="B98" s="1" t="s">
        <v>199</v>
      </c>
      <c r="C98" s="1" t="s">
        <v>65</v>
      </c>
      <c r="D98" s="1">
        <v>4</v>
      </c>
      <c r="E98" s="6">
        <v>457</v>
      </c>
      <c r="F98" s="6">
        <v>1828</v>
      </c>
      <c r="G98" s="2" t="s">
        <v>33</v>
      </c>
    </row>
    <row r="99" spans="1:7" x14ac:dyDescent="0.3">
      <c r="A99" s="11" t="s">
        <v>200</v>
      </c>
      <c r="B99" s="1" t="s">
        <v>201</v>
      </c>
      <c r="C99" s="1" t="s">
        <v>24</v>
      </c>
      <c r="D99" s="1">
        <v>2</v>
      </c>
      <c r="E99" s="6">
        <v>371</v>
      </c>
      <c r="F99" s="6">
        <v>742</v>
      </c>
      <c r="G99" s="2" t="s">
        <v>19</v>
      </c>
    </row>
    <row r="100" spans="1:7" x14ac:dyDescent="0.3">
      <c r="A100" s="11" t="s">
        <v>202</v>
      </c>
      <c r="B100" s="1" t="s">
        <v>203</v>
      </c>
      <c r="C100" s="1"/>
      <c r="D100" s="1">
        <v>2</v>
      </c>
      <c r="E100" s="6">
        <v>715</v>
      </c>
      <c r="F100" s="6">
        <v>1430</v>
      </c>
      <c r="G100" s="2" t="s">
        <v>33</v>
      </c>
    </row>
    <row r="101" spans="1:7" x14ac:dyDescent="0.3">
      <c r="A101" s="11" t="s">
        <v>77</v>
      </c>
      <c r="B101" s="1" t="s">
        <v>204</v>
      </c>
      <c r="C101" s="1" t="s">
        <v>24</v>
      </c>
      <c r="D101" s="1">
        <v>5</v>
      </c>
      <c r="E101" s="6">
        <v>335</v>
      </c>
      <c r="F101" s="6">
        <v>1675</v>
      </c>
      <c r="G101" s="2" t="s">
        <v>19</v>
      </c>
    </row>
    <row r="102" spans="1:7" x14ac:dyDescent="0.3">
      <c r="A102" s="11" t="s">
        <v>205</v>
      </c>
      <c r="B102" s="1" t="s">
        <v>206</v>
      </c>
      <c r="C102" s="1"/>
      <c r="D102" s="1">
        <v>0</v>
      </c>
      <c r="E102" s="6">
        <v>305</v>
      </c>
      <c r="F102" s="6">
        <v>0</v>
      </c>
      <c r="G102" s="2"/>
    </row>
    <row r="103" spans="1:7" x14ac:dyDescent="0.3">
      <c r="A103" s="11" t="s">
        <v>81</v>
      </c>
      <c r="B103" s="1" t="s">
        <v>207</v>
      </c>
      <c r="C103" s="1" t="s">
        <v>30</v>
      </c>
      <c r="D103" s="1">
        <v>5</v>
      </c>
      <c r="E103" s="6">
        <v>166</v>
      </c>
      <c r="F103" s="6">
        <v>830</v>
      </c>
      <c r="G103" s="2" t="s">
        <v>19</v>
      </c>
    </row>
    <row r="104" spans="1:7" x14ac:dyDescent="0.3">
      <c r="A104" s="11" t="s">
        <v>208</v>
      </c>
      <c r="B104" s="1" t="s">
        <v>209</v>
      </c>
      <c r="C104" s="1" t="s">
        <v>30</v>
      </c>
      <c r="D104" s="1">
        <v>6</v>
      </c>
      <c r="E104" s="6">
        <v>76</v>
      </c>
      <c r="F104" s="6">
        <v>456</v>
      </c>
      <c r="G104" s="2"/>
    </row>
    <row r="105" spans="1:7" x14ac:dyDescent="0.3">
      <c r="A105" s="11" t="s">
        <v>210</v>
      </c>
      <c r="B105" s="1" t="s">
        <v>211</v>
      </c>
      <c r="C105" s="1" t="s">
        <v>14</v>
      </c>
      <c r="D105" s="1">
        <v>2</v>
      </c>
      <c r="E105" s="6">
        <v>803</v>
      </c>
      <c r="F105" s="6">
        <v>1606</v>
      </c>
      <c r="G105" s="2"/>
    </row>
    <row r="106" spans="1:7" x14ac:dyDescent="0.3">
      <c r="A106" s="11" t="s">
        <v>166</v>
      </c>
      <c r="B106" s="1" t="s">
        <v>212</v>
      </c>
      <c r="C106" s="1" t="s">
        <v>68</v>
      </c>
      <c r="D106" s="1">
        <v>2</v>
      </c>
      <c r="E106" s="6">
        <v>0</v>
      </c>
      <c r="F106" s="6">
        <v>0</v>
      </c>
      <c r="G106" s="2" t="s">
        <v>19</v>
      </c>
    </row>
    <row r="107" spans="1:7" x14ac:dyDescent="0.3">
      <c r="A107" s="11" t="s">
        <v>213</v>
      </c>
      <c r="B107" s="1" t="s">
        <v>214</v>
      </c>
      <c r="C107" s="1" t="s">
        <v>38</v>
      </c>
      <c r="D107" s="1">
        <v>2</v>
      </c>
      <c r="E107" s="6">
        <v>561</v>
      </c>
      <c r="F107" s="6">
        <v>1122</v>
      </c>
      <c r="G107" s="2" t="s">
        <v>33</v>
      </c>
    </row>
    <row r="108" spans="1:7" x14ac:dyDescent="0.3">
      <c r="A108" s="11" t="s">
        <v>215</v>
      </c>
      <c r="B108" s="1" t="s">
        <v>216</v>
      </c>
      <c r="C108" s="1" t="s">
        <v>68</v>
      </c>
      <c r="D108" s="1">
        <v>1</v>
      </c>
      <c r="E108" s="6">
        <v>580</v>
      </c>
      <c r="F108" s="6">
        <v>580</v>
      </c>
      <c r="G108" s="2" t="s">
        <v>15</v>
      </c>
    </row>
    <row r="109" spans="1:7" x14ac:dyDescent="0.3">
      <c r="A109" s="11" t="s">
        <v>217</v>
      </c>
      <c r="B109" s="1" t="s">
        <v>218</v>
      </c>
      <c r="C109" s="1" t="s">
        <v>38</v>
      </c>
      <c r="D109" s="1">
        <v>5</v>
      </c>
      <c r="E109" s="6">
        <v>446</v>
      </c>
      <c r="F109" s="6">
        <v>2230</v>
      </c>
      <c r="G109" s="2" t="s">
        <v>15</v>
      </c>
    </row>
    <row r="110" spans="1:7" x14ac:dyDescent="0.3">
      <c r="A110" s="11" t="s">
        <v>219</v>
      </c>
      <c r="B110" s="1" t="s">
        <v>220</v>
      </c>
      <c r="C110" s="1" t="s">
        <v>79</v>
      </c>
      <c r="D110" s="1">
        <v>4</v>
      </c>
      <c r="E110" s="6">
        <v>985</v>
      </c>
      <c r="F110" s="6">
        <v>3940</v>
      </c>
      <c r="G110" s="2"/>
    </row>
    <row r="111" spans="1:7" x14ac:dyDescent="0.3">
      <c r="A111" s="11" t="s">
        <v>221</v>
      </c>
      <c r="B111" s="1" t="s">
        <v>222</v>
      </c>
      <c r="C111" s="1"/>
      <c r="D111" s="1">
        <v>5</v>
      </c>
      <c r="E111" s="6">
        <v>625</v>
      </c>
      <c r="F111" s="6">
        <v>3125</v>
      </c>
      <c r="G111" s="2" t="s">
        <v>27</v>
      </c>
    </row>
    <row r="112" spans="1:7" x14ac:dyDescent="0.3">
      <c r="A112" s="11" t="s">
        <v>223</v>
      </c>
      <c r="B112" s="1" t="s">
        <v>224</v>
      </c>
      <c r="C112" s="1" t="s">
        <v>24</v>
      </c>
      <c r="D112" s="1">
        <v>6</v>
      </c>
      <c r="E112" s="6">
        <v>170</v>
      </c>
      <c r="F112" s="6">
        <v>1020</v>
      </c>
      <c r="G112" s="2" t="s">
        <v>33</v>
      </c>
    </row>
    <row r="113" spans="1:7" x14ac:dyDescent="0.3">
      <c r="A113" s="11" t="s">
        <v>193</v>
      </c>
      <c r="B113" s="1" t="s">
        <v>225</v>
      </c>
      <c r="C113" s="1" t="s">
        <v>30</v>
      </c>
      <c r="D113" s="1">
        <v>2</v>
      </c>
      <c r="E113" s="6">
        <v>0</v>
      </c>
      <c r="F113" s="6">
        <v>0</v>
      </c>
      <c r="G113" s="2" t="s">
        <v>7</v>
      </c>
    </row>
    <row r="114" spans="1:7" x14ac:dyDescent="0.3">
      <c r="A114" s="11" t="s">
        <v>226</v>
      </c>
      <c r="B114" s="1" t="s">
        <v>227</v>
      </c>
      <c r="C114" s="1" t="s">
        <v>65</v>
      </c>
      <c r="D114" s="1">
        <v>4</v>
      </c>
      <c r="E114" s="6">
        <v>843</v>
      </c>
      <c r="F114" s="6">
        <v>3372</v>
      </c>
      <c r="G114" s="2" t="s">
        <v>33</v>
      </c>
    </row>
    <row r="115" spans="1:7" x14ac:dyDescent="0.3">
      <c r="A115" s="11" t="s">
        <v>228</v>
      </c>
      <c r="B115" s="1" t="s">
        <v>229</v>
      </c>
      <c r="C115" s="1" t="s">
        <v>6</v>
      </c>
      <c r="D115" s="1">
        <v>5</v>
      </c>
      <c r="E115" s="6">
        <v>316</v>
      </c>
      <c r="F115" s="6">
        <v>1580</v>
      </c>
      <c r="G115" s="2" t="s">
        <v>15</v>
      </c>
    </row>
    <row r="116" spans="1:7" x14ac:dyDescent="0.3">
      <c r="A116" s="11" t="s">
        <v>230</v>
      </c>
      <c r="B116" s="1" t="s">
        <v>231</v>
      </c>
      <c r="C116" s="1" t="s">
        <v>10</v>
      </c>
      <c r="D116" s="1">
        <v>2</v>
      </c>
      <c r="E116" s="6">
        <v>770</v>
      </c>
      <c r="F116" s="6">
        <v>1540</v>
      </c>
      <c r="G116" s="2" t="s">
        <v>15</v>
      </c>
    </row>
    <row r="117" spans="1:7" x14ac:dyDescent="0.3">
      <c r="A117" s="11" t="s">
        <v>232</v>
      </c>
      <c r="B117" s="1" t="s">
        <v>233</v>
      </c>
      <c r="C117" s="1" t="s">
        <v>6</v>
      </c>
      <c r="D117" s="1">
        <v>2</v>
      </c>
      <c r="E117" s="6">
        <v>506</v>
      </c>
      <c r="F117" s="6">
        <v>1012</v>
      </c>
      <c r="G117" s="2"/>
    </row>
    <row r="118" spans="1:7" x14ac:dyDescent="0.3">
      <c r="A118" s="11" t="s">
        <v>28</v>
      </c>
      <c r="B118" s="1" t="s">
        <v>234</v>
      </c>
      <c r="C118" s="1" t="s">
        <v>24</v>
      </c>
      <c r="D118" s="1">
        <v>4</v>
      </c>
      <c r="E118" s="6">
        <v>0</v>
      </c>
      <c r="F118" s="6">
        <v>0</v>
      </c>
      <c r="G118" s="2" t="s">
        <v>11</v>
      </c>
    </row>
    <row r="119" spans="1:7" x14ac:dyDescent="0.3">
      <c r="A119" s="11" t="s">
        <v>235</v>
      </c>
      <c r="B119" s="1" t="s">
        <v>236</v>
      </c>
      <c r="C119" s="1" t="s">
        <v>24</v>
      </c>
      <c r="D119" s="1">
        <v>6</v>
      </c>
      <c r="E119" s="6">
        <v>676</v>
      </c>
      <c r="F119" s="6">
        <v>4056</v>
      </c>
      <c r="G119" s="2" t="s">
        <v>33</v>
      </c>
    </row>
    <row r="120" spans="1:7" x14ac:dyDescent="0.3">
      <c r="A120" s="11" t="s">
        <v>184</v>
      </c>
      <c r="B120" s="1" t="s">
        <v>237</v>
      </c>
      <c r="C120" s="1" t="s">
        <v>38</v>
      </c>
      <c r="D120" s="1">
        <v>3</v>
      </c>
      <c r="E120" s="6">
        <v>342</v>
      </c>
      <c r="F120" s="6">
        <v>1026</v>
      </c>
      <c r="G120" s="2" t="s">
        <v>11</v>
      </c>
    </row>
    <row r="121" spans="1:7" x14ac:dyDescent="0.3">
      <c r="A121" s="11" t="s">
        <v>238</v>
      </c>
      <c r="B121" s="1" t="s">
        <v>239</v>
      </c>
      <c r="C121" s="1" t="s">
        <v>68</v>
      </c>
      <c r="D121" s="1">
        <v>4</v>
      </c>
      <c r="E121" s="6">
        <v>760</v>
      </c>
      <c r="F121" s="6">
        <v>3040</v>
      </c>
      <c r="G121" s="2" t="s">
        <v>15</v>
      </c>
    </row>
    <row r="122" spans="1:7" x14ac:dyDescent="0.3">
      <c r="A122" s="11"/>
      <c r="B122" s="1" t="s">
        <v>240</v>
      </c>
      <c r="C122" s="1" t="s">
        <v>6</v>
      </c>
      <c r="D122" s="1">
        <v>3</v>
      </c>
      <c r="E122" s="6">
        <v>988</v>
      </c>
      <c r="F122" s="6">
        <v>2964</v>
      </c>
      <c r="G122" s="2" t="s">
        <v>27</v>
      </c>
    </row>
    <row r="123" spans="1:7" x14ac:dyDescent="0.3">
      <c r="A123" s="11" t="s">
        <v>241</v>
      </c>
      <c r="B123" s="1" t="s">
        <v>242</v>
      </c>
      <c r="C123" s="1" t="s">
        <v>38</v>
      </c>
      <c r="D123" s="1">
        <v>6</v>
      </c>
      <c r="E123" s="6">
        <v>552</v>
      </c>
      <c r="F123" s="6">
        <v>3312</v>
      </c>
      <c r="G123" s="2" t="s">
        <v>33</v>
      </c>
    </row>
    <row r="124" spans="1:7" x14ac:dyDescent="0.3">
      <c r="A124" s="11" t="s">
        <v>243</v>
      </c>
      <c r="B124" s="1" t="s">
        <v>244</v>
      </c>
      <c r="C124" s="1" t="s">
        <v>38</v>
      </c>
      <c r="D124" s="1">
        <v>1</v>
      </c>
      <c r="E124" s="6">
        <v>254</v>
      </c>
      <c r="F124" s="6">
        <v>254</v>
      </c>
      <c r="G124" s="2" t="s">
        <v>7</v>
      </c>
    </row>
    <row r="125" spans="1:7" x14ac:dyDescent="0.3">
      <c r="A125" s="11" t="s">
        <v>245</v>
      </c>
      <c r="B125" s="1" t="s">
        <v>246</v>
      </c>
      <c r="C125" s="1" t="s">
        <v>68</v>
      </c>
      <c r="D125" s="1">
        <v>4</v>
      </c>
      <c r="E125" s="6">
        <v>175</v>
      </c>
      <c r="F125" s="6">
        <v>700</v>
      </c>
      <c r="G125" s="2" t="s">
        <v>33</v>
      </c>
    </row>
    <row r="126" spans="1:7" x14ac:dyDescent="0.3">
      <c r="A126" s="11" t="s">
        <v>247</v>
      </c>
      <c r="B126" s="1" t="s">
        <v>248</v>
      </c>
      <c r="C126" s="1" t="s">
        <v>65</v>
      </c>
      <c r="D126" s="1">
        <v>3</v>
      </c>
      <c r="E126" s="6">
        <v>188</v>
      </c>
      <c r="F126" s="6">
        <v>564</v>
      </c>
      <c r="G126" s="2" t="s">
        <v>7</v>
      </c>
    </row>
    <row r="127" spans="1:7" x14ac:dyDescent="0.3">
      <c r="A127" s="11" t="s">
        <v>249</v>
      </c>
      <c r="B127" s="1" t="s">
        <v>250</v>
      </c>
      <c r="C127" s="1" t="s">
        <v>30</v>
      </c>
      <c r="D127" s="1">
        <v>6</v>
      </c>
      <c r="E127" s="6">
        <v>923</v>
      </c>
      <c r="F127" s="6">
        <v>5538</v>
      </c>
      <c r="G127" s="2" t="s">
        <v>15</v>
      </c>
    </row>
    <row r="128" spans="1:7" x14ac:dyDescent="0.3">
      <c r="A128" s="11" t="s">
        <v>251</v>
      </c>
      <c r="B128" s="1" t="s">
        <v>252</v>
      </c>
      <c r="C128" s="1" t="s">
        <v>14</v>
      </c>
      <c r="D128" s="1">
        <v>5</v>
      </c>
      <c r="E128" s="6">
        <v>125</v>
      </c>
      <c r="F128" s="6">
        <v>625</v>
      </c>
      <c r="G128" s="2" t="s">
        <v>15</v>
      </c>
    </row>
    <row r="129" spans="1:7" x14ac:dyDescent="0.3">
      <c r="A129" s="11" t="s">
        <v>253</v>
      </c>
      <c r="B129" s="1" t="s">
        <v>254</v>
      </c>
      <c r="C129" s="1" t="s">
        <v>30</v>
      </c>
      <c r="D129" s="1">
        <v>2</v>
      </c>
      <c r="E129" s="6">
        <v>512</v>
      </c>
      <c r="F129" s="6">
        <v>1024</v>
      </c>
      <c r="G129" s="2" t="s">
        <v>7</v>
      </c>
    </row>
    <row r="130" spans="1:7" x14ac:dyDescent="0.3">
      <c r="A130" s="11" t="s">
        <v>247</v>
      </c>
      <c r="B130" s="1" t="s">
        <v>255</v>
      </c>
      <c r="C130" s="1" t="s">
        <v>10</v>
      </c>
      <c r="D130" s="1">
        <v>1</v>
      </c>
      <c r="E130" s="6">
        <v>226</v>
      </c>
      <c r="F130" s="6">
        <v>226</v>
      </c>
      <c r="G130" s="2" t="s">
        <v>27</v>
      </c>
    </row>
    <row r="131" spans="1:7" x14ac:dyDescent="0.3">
      <c r="A131" s="11" t="s">
        <v>34</v>
      </c>
      <c r="B131" s="1" t="s">
        <v>256</v>
      </c>
      <c r="C131" s="1" t="s">
        <v>6</v>
      </c>
      <c r="D131" s="1">
        <v>4</v>
      </c>
      <c r="E131" s="6">
        <v>970</v>
      </c>
      <c r="F131" s="6">
        <v>3880</v>
      </c>
      <c r="G131" s="2" t="s">
        <v>11</v>
      </c>
    </row>
    <row r="132" spans="1:7" x14ac:dyDescent="0.3">
      <c r="A132" s="11" t="s">
        <v>257</v>
      </c>
      <c r="B132" s="1" t="s">
        <v>258</v>
      </c>
      <c r="C132" s="1" t="s">
        <v>30</v>
      </c>
      <c r="D132" s="1">
        <v>3</v>
      </c>
      <c r="E132" s="6">
        <v>780</v>
      </c>
      <c r="F132" s="6">
        <v>2340</v>
      </c>
      <c r="G132" s="2" t="s">
        <v>33</v>
      </c>
    </row>
    <row r="133" spans="1:7" x14ac:dyDescent="0.3">
      <c r="A133" s="11" t="s">
        <v>259</v>
      </c>
      <c r="B133" s="1" t="s">
        <v>260</v>
      </c>
      <c r="C133" s="1" t="s">
        <v>14</v>
      </c>
      <c r="D133" s="1">
        <v>5</v>
      </c>
      <c r="E133" s="6">
        <v>505</v>
      </c>
      <c r="F133" s="6">
        <v>2525</v>
      </c>
      <c r="G133" s="2" t="s">
        <v>11</v>
      </c>
    </row>
    <row r="134" spans="1:7" x14ac:dyDescent="0.3">
      <c r="A134" s="11" t="s">
        <v>95</v>
      </c>
      <c r="B134" s="1" t="s">
        <v>261</v>
      </c>
      <c r="C134" s="1" t="s">
        <v>79</v>
      </c>
      <c r="D134" s="1">
        <v>3</v>
      </c>
      <c r="E134" s="6">
        <v>139</v>
      </c>
      <c r="F134" s="6">
        <v>417</v>
      </c>
      <c r="G134" s="2" t="s">
        <v>33</v>
      </c>
    </row>
    <row r="135" spans="1:7" x14ac:dyDescent="0.3">
      <c r="A135" s="11" t="s">
        <v>262</v>
      </c>
      <c r="B135" s="1" t="s">
        <v>263</v>
      </c>
      <c r="C135" s="1" t="s">
        <v>6</v>
      </c>
      <c r="D135" s="1">
        <v>6</v>
      </c>
      <c r="E135" s="6">
        <v>879</v>
      </c>
      <c r="F135" s="6">
        <v>5274</v>
      </c>
      <c r="G135" s="2" t="s">
        <v>15</v>
      </c>
    </row>
    <row r="136" spans="1:7" x14ac:dyDescent="0.3">
      <c r="A136" s="11" t="s">
        <v>102</v>
      </c>
      <c r="B136" s="1" t="s">
        <v>264</v>
      </c>
      <c r="C136" s="1" t="s">
        <v>14</v>
      </c>
      <c r="D136" s="1">
        <v>4</v>
      </c>
      <c r="E136" s="6">
        <v>748</v>
      </c>
      <c r="F136" s="6">
        <v>2992</v>
      </c>
      <c r="G136" s="2" t="s">
        <v>33</v>
      </c>
    </row>
    <row r="137" spans="1:7" x14ac:dyDescent="0.3">
      <c r="A137" s="11" t="s">
        <v>93</v>
      </c>
      <c r="B137" s="1" t="s">
        <v>265</v>
      </c>
      <c r="C137" s="1" t="s">
        <v>38</v>
      </c>
      <c r="D137" s="1">
        <v>6</v>
      </c>
      <c r="E137" s="6">
        <v>915</v>
      </c>
      <c r="F137" s="6">
        <v>5490</v>
      </c>
      <c r="G137" s="2" t="s">
        <v>33</v>
      </c>
    </row>
    <row r="138" spans="1:7" x14ac:dyDescent="0.3">
      <c r="A138" s="11" t="s">
        <v>266</v>
      </c>
      <c r="B138" s="1" t="s">
        <v>267</v>
      </c>
      <c r="C138" s="1" t="s">
        <v>24</v>
      </c>
      <c r="D138" s="1">
        <v>3</v>
      </c>
      <c r="E138" s="6">
        <v>377</v>
      </c>
      <c r="F138" s="6">
        <v>1131</v>
      </c>
      <c r="G138" s="2" t="s">
        <v>33</v>
      </c>
    </row>
    <row r="139" spans="1:7" x14ac:dyDescent="0.3">
      <c r="A139" s="11"/>
      <c r="B139" s="1" t="s">
        <v>268</v>
      </c>
      <c r="C139" s="1" t="s">
        <v>65</v>
      </c>
      <c r="D139" s="1">
        <v>4</v>
      </c>
      <c r="E139" s="6">
        <v>733</v>
      </c>
      <c r="F139" s="6">
        <v>2932</v>
      </c>
      <c r="G139" s="2" t="s">
        <v>7</v>
      </c>
    </row>
    <row r="140" spans="1:7" x14ac:dyDescent="0.3">
      <c r="A140" s="11" t="s">
        <v>269</v>
      </c>
      <c r="B140" s="1" t="s">
        <v>270</v>
      </c>
      <c r="C140" s="1" t="s">
        <v>10</v>
      </c>
      <c r="D140" s="1">
        <v>3</v>
      </c>
      <c r="E140" s="6">
        <v>405</v>
      </c>
      <c r="F140" s="6">
        <v>1215</v>
      </c>
      <c r="G140" s="2" t="s">
        <v>11</v>
      </c>
    </row>
    <row r="141" spans="1:7" x14ac:dyDescent="0.3">
      <c r="A141" s="11" t="s">
        <v>271</v>
      </c>
      <c r="B141" s="1" t="s">
        <v>272</v>
      </c>
      <c r="C141" s="1" t="s">
        <v>14</v>
      </c>
      <c r="D141" s="1">
        <v>2</v>
      </c>
      <c r="E141" s="6">
        <v>776</v>
      </c>
      <c r="F141" s="6">
        <v>1552</v>
      </c>
      <c r="G141" s="2" t="s">
        <v>27</v>
      </c>
    </row>
    <row r="142" spans="1:7" x14ac:dyDescent="0.3">
      <c r="A142" s="11" t="s">
        <v>123</v>
      </c>
      <c r="B142" s="1" t="s">
        <v>273</v>
      </c>
      <c r="C142" s="1"/>
      <c r="D142" s="1">
        <v>4</v>
      </c>
      <c r="E142" s="6">
        <v>116</v>
      </c>
      <c r="F142" s="6">
        <v>464</v>
      </c>
      <c r="G142" s="2" t="s">
        <v>15</v>
      </c>
    </row>
    <row r="143" spans="1:7" x14ac:dyDescent="0.3">
      <c r="A143" s="11" t="s">
        <v>274</v>
      </c>
      <c r="B143" s="1" t="s">
        <v>275</v>
      </c>
      <c r="C143" s="1" t="s">
        <v>24</v>
      </c>
      <c r="D143" s="1">
        <v>4</v>
      </c>
      <c r="E143" s="6">
        <v>613</v>
      </c>
      <c r="F143" s="6">
        <v>2452</v>
      </c>
      <c r="G143" s="2" t="s">
        <v>19</v>
      </c>
    </row>
    <row r="144" spans="1:7" x14ac:dyDescent="0.3">
      <c r="A144" s="11" t="s">
        <v>271</v>
      </c>
      <c r="B144" s="1" t="s">
        <v>276</v>
      </c>
      <c r="C144" s="1" t="s">
        <v>30</v>
      </c>
      <c r="D144" s="1">
        <v>1</v>
      </c>
      <c r="E144" s="6">
        <v>605</v>
      </c>
      <c r="F144" s="6">
        <v>605</v>
      </c>
      <c r="G144" s="2" t="s">
        <v>15</v>
      </c>
    </row>
    <row r="145" spans="1:7" x14ac:dyDescent="0.3">
      <c r="A145" s="11" t="s">
        <v>277</v>
      </c>
      <c r="B145" s="1" t="s">
        <v>278</v>
      </c>
      <c r="C145" s="1"/>
      <c r="D145" s="1">
        <v>0</v>
      </c>
      <c r="E145" s="6">
        <v>347</v>
      </c>
      <c r="F145" s="6">
        <v>0</v>
      </c>
      <c r="G145" s="2" t="s">
        <v>19</v>
      </c>
    </row>
    <row r="146" spans="1:7" x14ac:dyDescent="0.3">
      <c r="A146" s="11" t="s">
        <v>279</v>
      </c>
      <c r="B146" s="1" t="s">
        <v>280</v>
      </c>
      <c r="C146" s="1" t="s">
        <v>14</v>
      </c>
      <c r="D146" s="1">
        <v>4</v>
      </c>
      <c r="E146" s="6">
        <v>962</v>
      </c>
      <c r="F146" s="6">
        <v>3848</v>
      </c>
      <c r="G146" s="2" t="s">
        <v>15</v>
      </c>
    </row>
    <row r="147" spans="1:7" x14ac:dyDescent="0.3">
      <c r="A147" s="11" t="s">
        <v>281</v>
      </c>
      <c r="B147" s="1" t="s">
        <v>282</v>
      </c>
      <c r="C147" s="1" t="s">
        <v>30</v>
      </c>
      <c r="D147" s="1">
        <v>5</v>
      </c>
      <c r="E147" s="6">
        <v>357</v>
      </c>
      <c r="F147" s="6">
        <v>1785</v>
      </c>
      <c r="G147" s="2" t="s">
        <v>7</v>
      </c>
    </row>
    <row r="148" spans="1:7" x14ac:dyDescent="0.3">
      <c r="A148" s="11" t="s">
        <v>283</v>
      </c>
      <c r="B148" s="1" t="s">
        <v>284</v>
      </c>
      <c r="C148" s="1" t="s">
        <v>68</v>
      </c>
      <c r="D148" s="1">
        <v>3</v>
      </c>
      <c r="E148" s="6">
        <v>921</v>
      </c>
      <c r="F148" s="6">
        <v>2763</v>
      </c>
      <c r="G148" s="2" t="s">
        <v>7</v>
      </c>
    </row>
    <row r="149" spans="1:7" x14ac:dyDescent="0.3">
      <c r="A149" s="11"/>
      <c r="B149" s="1" t="s">
        <v>285</v>
      </c>
      <c r="C149" s="1" t="s">
        <v>18</v>
      </c>
      <c r="D149" s="1">
        <v>5</v>
      </c>
      <c r="E149" s="6">
        <v>211</v>
      </c>
      <c r="F149" s="6">
        <v>1055</v>
      </c>
      <c r="G149" s="2"/>
    </row>
    <row r="150" spans="1:7" x14ac:dyDescent="0.3">
      <c r="A150" s="11" t="s">
        <v>286</v>
      </c>
      <c r="B150" s="1" t="s">
        <v>287</v>
      </c>
      <c r="C150" s="1" t="s">
        <v>24</v>
      </c>
      <c r="D150" s="1">
        <v>3</v>
      </c>
      <c r="E150" s="6">
        <v>778</v>
      </c>
      <c r="F150" s="6">
        <v>2334</v>
      </c>
      <c r="G150" s="2" t="s">
        <v>7</v>
      </c>
    </row>
    <row r="151" spans="1:7" x14ac:dyDescent="0.3">
      <c r="A151" s="11" t="s">
        <v>93</v>
      </c>
      <c r="B151" s="1" t="s">
        <v>288</v>
      </c>
      <c r="C151" s="1"/>
      <c r="D151" s="1">
        <v>6</v>
      </c>
      <c r="E151" s="6">
        <v>776</v>
      </c>
      <c r="F151" s="6">
        <v>4656</v>
      </c>
      <c r="G151" s="2" t="s">
        <v>27</v>
      </c>
    </row>
    <row r="152" spans="1:7" x14ac:dyDescent="0.3">
      <c r="A152" s="11" t="s">
        <v>289</v>
      </c>
      <c r="B152" s="1" t="s">
        <v>290</v>
      </c>
      <c r="C152" s="1" t="s">
        <v>24</v>
      </c>
      <c r="D152" s="1">
        <v>3</v>
      </c>
      <c r="E152" s="6">
        <v>999</v>
      </c>
      <c r="F152" s="6">
        <v>2997</v>
      </c>
      <c r="G152" s="2" t="s">
        <v>27</v>
      </c>
    </row>
    <row r="153" spans="1:7" x14ac:dyDescent="0.3">
      <c r="A153" s="11" t="s">
        <v>138</v>
      </c>
      <c r="B153" s="1" t="s">
        <v>291</v>
      </c>
      <c r="C153" s="1" t="s">
        <v>30</v>
      </c>
      <c r="D153" s="1">
        <v>1</v>
      </c>
      <c r="E153" s="6">
        <v>767</v>
      </c>
      <c r="F153" s="6">
        <v>767</v>
      </c>
      <c r="G153" s="2"/>
    </row>
    <row r="154" spans="1:7" x14ac:dyDescent="0.3">
      <c r="A154" s="11"/>
      <c r="B154" s="1" t="s">
        <v>292</v>
      </c>
      <c r="C154" s="1" t="s">
        <v>30</v>
      </c>
      <c r="D154" s="1">
        <v>6</v>
      </c>
      <c r="E154" s="6">
        <v>703</v>
      </c>
      <c r="F154" s="6">
        <v>4218</v>
      </c>
      <c r="G154" s="2" t="s">
        <v>27</v>
      </c>
    </row>
    <row r="155" spans="1:7" x14ac:dyDescent="0.3">
      <c r="A155" s="11" t="s">
        <v>293</v>
      </c>
      <c r="B155" s="1" t="s">
        <v>294</v>
      </c>
      <c r="C155" s="1" t="s">
        <v>10</v>
      </c>
      <c r="D155" s="1">
        <v>4</v>
      </c>
      <c r="E155" s="6">
        <v>228</v>
      </c>
      <c r="F155" s="6">
        <v>912</v>
      </c>
      <c r="G155" s="2"/>
    </row>
    <row r="156" spans="1:7" x14ac:dyDescent="0.3">
      <c r="A156" s="11" t="s">
        <v>175</v>
      </c>
      <c r="B156" s="1" t="s">
        <v>295</v>
      </c>
      <c r="C156" s="1"/>
      <c r="D156" s="1">
        <v>3</v>
      </c>
      <c r="E156" s="6">
        <v>862</v>
      </c>
      <c r="F156" s="6">
        <v>2586</v>
      </c>
      <c r="G156" s="2" t="s">
        <v>7</v>
      </c>
    </row>
    <row r="157" spans="1:7" x14ac:dyDescent="0.3">
      <c r="A157" s="11" t="s">
        <v>296</v>
      </c>
      <c r="B157" s="1" t="s">
        <v>297</v>
      </c>
      <c r="C157" s="1" t="s">
        <v>79</v>
      </c>
      <c r="D157" s="1">
        <v>1</v>
      </c>
      <c r="E157" s="6">
        <v>420</v>
      </c>
      <c r="F157" s="6">
        <v>420</v>
      </c>
      <c r="G157" s="2" t="s">
        <v>33</v>
      </c>
    </row>
    <row r="158" spans="1:7" x14ac:dyDescent="0.3">
      <c r="A158" s="11" t="s">
        <v>247</v>
      </c>
      <c r="B158" s="1" t="s">
        <v>298</v>
      </c>
      <c r="C158" s="1"/>
      <c r="D158" s="1">
        <v>5</v>
      </c>
      <c r="E158" s="6">
        <v>570</v>
      </c>
      <c r="F158" s="6">
        <v>2850</v>
      </c>
      <c r="G158" s="2" t="s">
        <v>11</v>
      </c>
    </row>
    <row r="159" spans="1:7" x14ac:dyDescent="0.3">
      <c r="A159" s="11" t="s">
        <v>299</v>
      </c>
      <c r="B159" s="1" t="s">
        <v>300</v>
      </c>
      <c r="C159" s="1" t="s">
        <v>10</v>
      </c>
      <c r="D159" s="1" t="e">
        <v>#DIV/0!</v>
      </c>
      <c r="E159" s="6" t="e">
        <v>#DIV/0!</v>
      </c>
      <c r="F159" s="6">
        <v>1674</v>
      </c>
      <c r="G159" s="2" t="s">
        <v>11</v>
      </c>
    </row>
    <row r="160" spans="1:7" x14ac:dyDescent="0.3">
      <c r="A160" s="11" t="s">
        <v>127</v>
      </c>
      <c r="B160" s="1" t="s">
        <v>301</v>
      </c>
      <c r="C160" s="1" t="s">
        <v>6</v>
      </c>
      <c r="D160" s="1">
        <v>6</v>
      </c>
      <c r="E160" s="6">
        <v>174</v>
      </c>
      <c r="F160" s="6">
        <v>1044</v>
      </c>
      <c r="G160" s="2" t="s">
        <v>11</v>
      </c>
    </row>
    <row r="161" spans="1:7" x14ac:dyDescent="0.3">
      <c r="A161" s="11" t="s">
        <v>302</v>
      </c>
      <c r="B161" s="1" t="s">
        <v>303</v>
      </c>
      <c r="C161" s="1" t="s">
        <v>79</v>
      </c>
      <c r="D161" s="1">
        <v>1</v>
      </c>
      <c r="E161" s="6">
        <v>255</v>
      </c>
      <c r="F161" s="6">
        <v>255</v>
      </c>
      <c r="G161" s="2" t="s">
        <v>33</v>
      </c>
    </row>
    <row r="162" spans="1:7" x14ac:dyDescent="0.3">
      <c r="A162" s="11" t="s">
        <v>304</v>
      </c>
      <c r="B162" s="1" t="s">
        <v>305</v>
      </c>
      <c r="C162" s="1" t="s">
        <v>14</v>
      </c>
      <c r="D162" s="1">
        <v>5</v>
      </c>
      <c r="E162" s="6">
        <v>861</v>
      </c>
      <c r="F162" s="6">
        <v>4305</v>
      </c>
      <c r="G162" s="2" t="s">
        <v>15</v>
      </c>
    </row>
    <row r="163" spans="1:7" x14ac:dyDescent="0.3">
      <c r="A163" s="11" t="s">
        <v>306</v>
      </c>
      <c r="B163" s="1" t="s">
        <v>307</v>
      </c>
      <c r="C163" s="1" t="s">
        <v>18</v>
      </c>
      <c r="D163" s="1">
        <v>6</v>
      </c>
      <c r="E163" s="6">
        <v>192</v>
      </c>
      <c r="F163" s="6">
        <v>1152</v>
      </c>
      <c r="G163" s="2" t="s">
        <v>11</v>
      </c>
    </row>
    <row r="164" spans="1:7" x14ac:dyDescent="0.3">
      <c r="A164" s="11" t="s">
        <v>308</v>
      </c>
      <c r="B164" s="1" t="s">
        <v>309</v>
      </c>
      <c r="C164" s="1" t="s">
        <v>10</v>
      </c>
      <c r="D164" s="1">
        <v>4</v>
      </c>
      <c r="E164" s="6">
        <v>292</v>
      </c>
      <c r="F164" s="6">
        <v>1168</v>
      </c>
      <c r="G164" s="2" t="s">
        <v>11</v>
      </c>
    </row>
    <row r="165" spans="1:7" x14ac:dyDescent="0.3">
      <c r="A165" s="11" t="s">
        <v>310</v>
      </c>
      <c r="B165" s="1" t="s">
        <v>311</v>
      </c>
      <c r="C165" s="1" t="s">
        <v>18</v>
      </c>
      <c r="D165" s="1">
        <v>3</v>
      </c>
      <c r="E165" s="6">
        <v>859</v>
      </c>
      <c r="F165" s="6">
        <v>2577</v>
      </c>
      <c r="G165" s="2" t="s">
        <v>19</v>
      </c>
    </row>
    <row r="166" spans="1:7" x14ac:dyDescent="0.3">
      <c r="A166" s="11" t="s">
        <v>312</v>
      </c>
      <c r="B166" s="1" t="s">
        <v>313</v>
      </c>
      <c r="C166" s="1" t="s">
        <v>68</v>
      </c>
      <c r="D166" s="1">
        <v>2</v>
      </c>
      <c r="E166" s="6">
        <v>555</v>
      </c>
      <c r="F166" s="6">
        <v>1110</v>
      </c>
      <c r="G166" s="2" t="s">
        <v>15</v>
      </c>
    </row>
    <row r="167" spans="1:7" x14ac:dyDescent="0.3">
      <c r="A167" s="11" t="s">
        <v>314</v>
      </c>
      <c r="B167" s="1" t="s">
        <v>315</v>
      </c>
      <c r="C167" s="1" t="s">
        <v>6</v>
      </c>
      <c r="D167" s="1">
        <v>5</v>
      </c>
      <c r="E167" s="6">
        <v>76</v>
      </c>
      <c r="F167" s="6">
        <v>380</v>
      </c>
      <c r="G167" s="2" t="s">
        <v>15</v>
      </c>
    </row>
    <row r="168" spans="1:7" x14ac:dyDescent="0.3">
      <c r="A168" s="11" t="s">
        <v>247</v>
      </c>
      <c r="B168" s="1" t="s">
        <v>316</v>
      </c>
      <c r="C168" s="1" t="s">
        <v>6</v>
      </c>
      <c r="D168" s="1">
        <v>3</v>
      </c>
      <c r="E168" s="6">
        <v>419</v>
      </c>
      <c r="F168" s="6">
        <v>1257</v>
      </c>
      <c r="G168" s="2" t="s">
        <v>11</v>
      </c>
    </row>
    <row r="169" spans="1:7" x14ac:dyDescent="0.3">
      <c r="A169" s="11" t="s">
        <v>317</v>
      </c>
      <c r="B169" s="1" t="s">
        <v>318</v>
      </c>
      <c r="C169" s="1" t="s">
        <v>65</v>
      </c>
      <c r="D169" s="1">
        <v>2</v>
      </c>
      <c r="E169" s="6">
        <v>617</v>
      </c>
      <c r="F169" s="6">
        <v>1234</v>
      </c>
      <c r="G169" s="2" t="s">
        <v>15</v>
      </c>
    </row>
    <row r="170" spans="1:7" x14ac:dyDescent="0.3">
      <c r="A170" s="11" t="s">
        <v>77</v>
      </c>
      <c r="B170" s="1" t="s">
        <v>319</v>
      </c>
      <c r="C170" s="1" t="s">
        <v>6</v>
      </c>
      <c r="D170" s="1">
        <v>6</v>
      </c>
      <c r="E170" s="6">
        <v>636</v>
      </c>
      <c r="F170" s="6">
        <v>3816</v>
      </c>
      <c r="G170" s="2" t="s">
        <v>19</v>
      </c>
    </row>
    <row r="171" spans="1:7" x14ac:dyDescent="0.3">
      <c r="A171" s="11" t="s">
        <v>118</v>
      </c>
      <c r="B171" s="1" t="s">
        <v>320</v>
      </c>
      <c r="C171" s="1" t="s">
        <v>30</v>
      </c>
      <c r="D171" s="1">
        <v>2</v>
      </c>
      <c r="E171" s="6">
        <v>427</v>
      </c>
      <c r="F171" s="6">
        <v>854</v>
      </c>
      <c r="G171" s="2" t="s">
        <v>33</v>
      </c>
    </row>
    <row r="172" spans="1:7" x14ac:dyDescent="0.3">
      <c r="A172" s="11" t="s">
        <v>249</v>
      </c>
      <c r="B172" s="1" t="s">
        <v>321</v>
      </c>
      <c r="C172" s="1" t="s">
        <v>24</v>
      </c>
      <c r="D172" s="1">
        <v>5</v>
      </c>
      <c r="E172" s="6">
        <v>0</v>
      </c>
      <c r="F172" s="6">
        <v>0</v>
      </c>
      <c r="G172" s="2" t="s">
        <v>19</v>
      </c>
    </row>
    <row r="173" spans="1:7" x14ac:dyDescent="0.3">
      <c r="A173" s="11" t="s">
        <v>322</v>
      </c>
      <c r="B173" s="1" t="s">
        <v>323</v>
      </c>
      <c r="C173" s="1" t="s">
        <v>24</v>
      </c>
      <c r="D173" s="1">
        <v>3</v>
      </c>
      <c r="E173" s="6">
        <v>872</v>
      </c>
      <c r="F173" s="6">
        <v>2616</v>
      </c>
      <c r="G173" s="2" t="s">
        <v>33</v>
      </c>
    </row>
    <row r="174" spans="1:7" x14ac:dyDescent="0.3">
      <c r="A174" s="11" t="s">
        <v>324</v>
      </c>
      <c r="B174" s="1" t="s">
        <v>325</v>
      </c>
      <c r="C174" s="1"/>
      <c r="D174" s="1">
        <v>6</v>
      </c>
      <c r="E174" s="6">
        <v>614</v>
      </c>
      <c r="F174" s="6">
        <v>3684</v>
      </c>
      <c r="G174" s="2" t="s">
        <v>7</v>
      </c>
    </row>
    <row r="175" spans="1:7" x14ac:dyDescent="0.3">
      <c r="A175" s="11" t="s">
        <v>326</v>
      </c>
      <c r="B175" s="1" t="s">
        <v>327</v>
      </c>
      <c r="C175" s="1"/>
      <c r="D175" s="1">
        <v>6</v>
      </c>
      <c r="E175" s="6">
        <v>182</v>
      </c>
      <c r="F175" s="6">
        <v>1092</v>
      </c>
      <c r="G175" s="2" t="s">
        <v>19</v>
      </c>
    </row>
    <row r="176" spans="1:7" x14ac:dyDescent="0.3">
      <c r="A176" s="11" t="s">
        <v>328</v>
      </c>
      <c r="B176" s="1" t="s">
        <v>329</v>
      </c>
      <c r="C176" s="1" t="s">
        <v>24</v>
      </c>
      <c r="D176" s="1">
        <v>6</v>
      </c>
      <c r="E176" s="6">
        <v>676</v>
      </c>
      <c r="F176" s="6">
        <v>4056</v>
      </c>
      <c r="G176" s="2" t="s">
        <v>7</v>
      </c>
    </row>
    <row r="177" spans="1:7" x14ac:dyDescent="0.3">
      <c r="A177" s="11" t="s">
        <v>330</v>
      </c>
      <c r="B177" s="1" t="s">
        <v>331</v>
      </c>
      <c r="C177" s="1" t="s">
        <v>14</v>
      </c>
      <c r="D177" s="1">
        <v>6</v>
      </c>
      <c r="E177" s="6">
        <v>955</v>
      </c>
      <c r="F177" s="6">
        <v>5730</v>
      </c>
      <c r="G177" s="2" t="s">
        <v>11</v>
      </c>
    </row>
    <row r="178" spans="1:7" x14ac:dyDescent="0.3">
      <c r="A178" s="11" t="s">
        <v>232</v>
      </c>
      <c r="B178" s="1" t="s">
        <v>332</v>
      </c>
      <c r="C178" s="1" t="s">
        <v>30</v>
      </c>
      <c r="D178" s="1">
        <v>2</v>
      </c>
      <c r="E178" s="6">
        <v>138</v>
      </c>
      <c r="F178" s="6">
        <v>276</v>
      </c>
      <c r="G178" s="2"/>
    </row>
    <row r="179" spans="1:7" x14ac:dyDescent="0.3">
      <c r="A179" s="11" t="s">
        <v>333</v>
      </c>
      <c r="B179" s="1" t="s">
        <v>334</v>
      </c>
      <c r="C179" s="1" t="s">
        <v>68</v>
      </c>
      <c r="D179" s="1">
        <v>6</v>
      </c>
      <c r="E179" s="6">
        <v>117</v>
      </c>
      <c r="F179" s="6">
        <v>702</v>
      </c>
      <c r="G179" s="2" t="s">
        <v>7</v>
      </c>
    </row>
    <row r="180" spans="1:7" x14ac:dyDescent="0.3">
      <c r="A180" s="11" t="s">
        <v>335</v>
      </c>
      <c r="B180" s="1" t="s">
        <v>336</v>
      </c>
      <c r="C180" s="1" t="s">
        <v>38</v>
      </c>
      <c r="D180" s="1">
        <v>1</v>
      </c>
      <c r="E180" s="6">
        <v>366</v>
      </c>
      <c r="F180" s="6">
        <v>366</v>
      </c>
      <c r="G180" s="2" t="s">
        <v>7</v>
      </c>
    </row>
    <row r="181" spans="1:7" x14ac:dyDescent="0.3">
      <c r="A181" s="11" t="s">
        <v>200</v>
      </c>
      <c r="B181" s="1" t="s">
        <v>337</v>
      </c>
      <c r="C181" s="1" t="s">
        <v>18</v>
      </c>
      <c r="D181" s="1">
        <v>6</v>
      </c>
      <c r="E181" s="6">
        <v>457</v>
      </c>
      <c r="F181" s="6">
        <v>2742</v>
      </c>
      <c r="G181" s="2" t="s">
        <v>11</v>
      </c>
    </row>
    <row r="182" spans="1:7" x14ac:dyDescent="0.3">
      <c r="A182" s="11" t="s">
        <v>338</v>
      </c>
      <c r="B182" s="1" t="s">
        <v>339</v>
      </c>
      <c r="C182" s="1" t="s">
        <v>30</v>
      </c>
      <c r="D182" s="1">
        <v>6</v>
      </c>
      <c r="E182" s="6">
        <v>784</v>
      </c>
      <c r="F182" s="6">
        <v>4704</v>
      </c>
      <c r="G182" s="2" t="s">
        <v>7</v>
      </c>
    </row>
    <row r="183" spans="1:7" x14ac:dyDescent="0.3">
      <c r="A183" s="11" t="s">
        <v>281</v>
      </c>
      <c r="B183" s="1" t="s">
        <v>340</v>
      </c>
      <c r="C183" s="1" t="s">
        <v>18</v>
      </c>
      <c r="D183" s="1">
        <v>1</v>
      </c>
      <c r="E183" s="6">
        <v>786</v>
      </c>
      <c r="F183" s="6">
        <v>786</v>
      </c>
      <c r="G183" s="2" t="s">
        <v>33</v>
      </c>
    </row>
    <row r="184" spans="1:7" x14ac:dyDescent="0.3">
      <c r="A184" s="11" t="s">
        <v>341</v>
      </c>
      <c r="B184" s="1" t="s">
        <v>342</v>
      </c>
      <c r="C184" s="1" t="s">
        <v>14</v>
      </c>
      <c r="D184" s="1">
        <v>3</v>
      </c>
      <c r="E184" s="6">
        <v>540</v>
      </c>
      <c r="F184" s="6">
        <v>1620</v>
      </c>
      <c r="G184" s="2" t="s">
        <v>33</v>
      </c>
    </row>
    <row r="185" spans="1:7" x14ac:dyDescent="0.3">
      <c r="A185" s="11" t="s">
        <v>343</v>
      </c>
      <c r="B185" s="1" t="s">
        <v>344</v>
      </c>
      <c r="C185" s="1"/>
      <c r="D185" s="1">
        <v>4</v>
      </c>
      <c r="E185" s="6">
        <v>588</v>
      </c>
      <c r="F185" s="6">
        <v>2352</v>
      </c>
      <c r="G185" s="2" t="s">
        <v>19</v>
      </c>
    </row>
    <row r="186" spans="1:7" x14ac:dyDescent="0.3">
      <c r="A186" s="11" t="s">
        <v>345</v>
      </c>
      <c r="B186" s="1" t="s">
        <v>346</v>
      </c>
      <c r="C186" s="1" t="s">
        <v>79</v>
      </c>
      <c r="D186" s="1">
        <v>1</v>
      </c>
      <c r="E186" s="6">
        <v>470</v>
      </c>
      <c r="F186" s="6">
        <v>470</v>
      </c>
      <c r="G186" s="2" t="s">
        <v>11</v>
      </c>
    </row>
    <row r="187" spans="1:7" x14ac:dyDescent="0.3">
      <c r="A187" s="11" t="s">
        <v>347</v>
      </c>
      <c r="B187" s="1" t="s">
        <v>348</v>
      </c>
      <c r="C187" s="1" t="s">
        <v>65</v>
      </c>
      <c r="D187" s="1">
        <v>5</v>
      </c>
      <c r="E187" s="6">
        <v>837</v>
      </c>
      <c r="F187" s="6">
        <v>4185</v>
      </c>
      <c r="G187" s="2" t="s">
        <v>15</v>
      </c>
    </row>
    <row r="188" spans="1:7" x14ac:dyDescent="0.3">
      <c r="A188" s="11" t="s">
        <v>349</v>
      </c>
      <c r="B188" s="1" t="s">
        <v>350</v>
      </c>
      <c r="C188" s="1" t="s">
        <v>30</v>
      </c>
      <c r="D188" s="1">
        <v>3</v>
      </c>
      <c r="E188" s="6">
        <v>469</v>
      </c>
      <c r="F188" s="6">
        <v>1407</v>
      </c>
      <c r="G188" s="2" t="s">
        <v>33</v>
      </c>
    </row>
    <row r="189" spans="1:7" x14ac:dyDescent="0.3">
      <c r="A189" s="11" t="s">
        <v>351</v>
      </c>
      <c r="B189" s="1" t="s">
        <v>352</v>
      </c>
      <c r="C189" s="1" t="s">
        <v>65</v>
      </c>
      <c r="D189" s="1">
        <v>6</v>
      </c>
      <c r="E189" s="6">
        <v>893</v>
      </c>
      <c r="F189" s="6">
        <v>5358</v>
      </c>
      <c r="G189" s="2" t="s">
        <v>7</v>
      </c>
    </row>
    <row r="190" spans="1:7" x14ac:dyDescent="0.3">
      <c r="A190" s="11"/>
      <c r="B190" s="1" t="s">
        <v>353</v>
      </c>
      <c r="C190" s="1"/>
      <c r="D190" s="1">
        <v>2</v>
      </c>
      <c r="E190" s="6">
        <v>638</v>
      </c>
      <c r="F190" s="6">
        <v>1276</v>
      </c>
      <c r="G190" s="2" t="s">
        <v>33</v>
      </c>
    </row>
    <row r="191" spans="1:7" x14ac:dyDescent="0.3">
      <c r="A191" s="11" t="s">
        <v>354</v>
      </c>
      <c r="B191" s="1" t="s">
        <v>355</v>
      </c>
      <c r="C191" s="1" t="s">
        <v>18</v>
      </c>
      <c r="D191" s="1">
        <v>1</v>
      </c>
      <c r="E191" s="6">
        <v>125</v>
      </c>
      <c r="F191" s="6">
        <v>125</v>
      </c>
      <c r="G191" s="2" t="s">
        <v>33</v>
      </c>
    </row>
    <row r="192" spans="1:7" x14ac:dyDescent="0.3">
      <c r="A192" s="11" t="s">
        <v>262</v>
      </c>
      <c r="B192" s="1" t="s">
        <v>356</v>
      </c>
      <c r="C192" s="1" t="s">
        <v>18</v>
      </c>
      <c r="D192" s="1">
        <v>0</v>
      </c>
      <c r="E192" s="6">
        <v>178</v>
      </c>
      <c r="F192" s="6">
        <v>0</v>
      </c>
      <c r="G192" s="2" t="s">
        <v>19</v>
      </c>
    </row>
    <row r="193" spans="1:7" x14ac:dyDescent="0.3">
      <c r="A193" s="11" t="s">
        <v>357</v>
      </c>
      <c r="B193" s="1" t="s">
        <v>358</v>
      </c>
      <c r="C193" s="1" t="s">
        <v>6</v>
      </c>
      <c r="D193" s="1">
        <v>3</v>
      </c>
      <c r="E193" s="6">
        <v>0</v>
      </c>
      <c r="F193" s="6">
        <v>0</v>
      </c>
      <c r="G193" s="2" t="s">
        <v>15</v>
      </c>
    </row>
    <row r="194" spans="1:7" x14ac:dyDescent="0.3">
      <c r="A194" s="11"/>
      <c r="B194" s="1" t="s">
        <v>359</v>
      </c>
      <c r="C194" s="1" t="s">
        <v>79</v>
      </c>
      <c r="D194" s="1">
        <v>6</v>
      </c>
      <c r="E194" s="6">
        <v>707</v>
      </c>
      <c r="F194" s="6">
        <v>4242</v>
      </c>
      <c r="G194" s="2" t="s">
        <v>33</v>
      </c>
    </row>
    <row r="195" spans="1:7" x14ac:dyDescent="0.3">
      <c r="A195" s="11" t="s">
        <v>360</v>
      </c>
      <c r="B195" s="1" t="s">
        <v>361</v>
      </c>
      <c r="C195" s="1" t="s">
        <v>10</v>
      </c>
      <c r="D195" s="1">
        <v>4</v>
      </c>
      <c r="E195" s="6">
        <v>125</v>
      </c>
      <c r="F195" s="6">
        <v>500</v>
      </c>
      <c r="G195" s="2" t="s">
        <v>11</v>
      </c>
    </row>
    <row r="196" spans="1:7" x14ac:dyDescent="0.3">
      <c r="A196" s="11"/>
      <c r="B196" s="1" t="s">
        <v>362</v>
      </c>
      <c r="C196" s="1" t="s">
        <v>68</v>
      </c>
      <c r="D196" s="1">
        <v>2</v>
      </c>
      <c r="E196" s="6">
        <v>510</v>
      </c>
      <c r="F196" s="6">
        <v>1020</v>
      </c>
      <c r="G196" s="2" t="s">
        <v>33</v>
      </c>
    </row>
    <row r="197" spans="1:7" x14ac:dyDescent="0.3">
      <c r="A197" s="11"/>
      <c r="B197" s="1" t="s">
        <v>363</v>
      </c>
      <c r="C197" s="1" t="s">
        <v>30</v>
      </c>
      <c r="D197" s="1">
        <v>2</v>
      </c>
      <c r="E197" s="6">
        <v>527</v>
      </c>
      <c r="F197" s="6">
        <v>1054</v>
      </c>
      <c r="G197" s="2" t="s">
        <v>11</v>
      </c>
    </row>
    <row r="198" spans="1:7" x14ac:dyDescent="0.3">
      <c r="A198" s="11" t="s">
        <v>364</v>
      </c>
      <c r="B198" s="1" t="s">
        <v>365</v>
      </c>
      <c r="C198" s="1" t="s">
        <v>18</v>
      </c>
      <c r="D198" s="1">
        <v>2</v>
      </c>
      <c r="E198" s="6">
        <v>746</v>
      </c>
      <c r="F198" s="6">
        <v>1492</v>
      </c>
      <c r="G198" s="2" t="s">
        <v>11</v>
      </c>
    </row>
    <row r="199" spans="1:7" x14ac:dyDescent="0.3">
      <c r="A199" s="11" t="s">
        <v>330</v>
      </c>
      <c r="B199" s="1" t="s">
        <v>366</v>
      </c>
      <c r="C199" s="1" t="s">
        <v>68</v>
      </c>
      <c r="D199" s="1">
        <v>5</v>
      </c>
      <c r="E199" s="6">
        <v>579</v>
      </c>
      <c r="F199" s="6">
        <v>2895</v>
      </c>
      <c r="G199" s="2" t="s">
        <v>19</v>
      </c>
    </row>
    <row r="200" spans="1:7" x14ac:dyDescent="0.3">
      <c r="A200" s="11" t="s">
        <v>61</v>
      </c>
      <c r="B200" s="1" t="s">
        <v>367</v>
      </c>
      <c r="C200" s="1" t="s">
        <v>18</v>
      </c>
      <c r="D200" s="1">
        <v>3</v>
      </c>
      <c r="E200" s="6">
        <v>402</v>
      </c>
      <c r="F200" s="6">
        <v>1206</v>
      </c>
      <c r="G200" s="2" t="s">
        <v>15</v>
      </c>
    </row>
    <row r="201" spans="1:7" x14ac:dyDescent="0.3">
      <c r="A201" s="11" t="s">
        <v>368</v>
      </c>
      <c r="B201" s="1" t="s">
        <v>369</v>
      </c>
      <c r="C201" s="1" t="s">
        <v>10</v>
      </c>
      <c r="D201" s="1">
        <v>5</v>
      </c>
      <c r="E201" s="6">
        <v>181</v>
      </c>
      <c r="F201" s="6">
        <v>905</v>
      </c>
      <c r="G201" s="2" t="s">
        <v>11</v>
      </c>
    </row>
    <row r="202" spans="1:7" x14ac:dyDescent="0.3">
      <c r="A202" s="11" t="s">
        <v>148</v>
      </c>
      <c r="B202" s="1" t="s">
        <v>370</v>
      </c>
      <c r="C202" s="1"/>
      <c r="D202" s="1">
        <v>5</v>
      </c>
      <c r="E202" s="6">
        <v>949</v>
      </c>
      <c r="F202" s="6">
        <v>4745</v>
      </c>
      <c r="G202" s="2" t="s">
        <v>19</v>
      </c>
    </row>
    <row r="203" spans="1:7" x14ac:dyDescent="0.3">
      <c r="A203" s="11" t="s">
        <v>371</v>
      </c>
      <c r="B203" s="1" t="s">
        <v>372</v>
      </c>
      <c r="C203" s="1" t="s">
        <v>10</v>
      </c>
      <c r="D203" s="1">
        <v>3</v>
      </c>
      <c r="E203" s="6">
        <v>898</v>
      </c>
      <c r="F203" s="6">
        <v>2694</v>
      </c>
      <c r="G203" s="2" t="s">
        <v>27</v>
      </c>
    </row>
    <row r="204" spans="1:7" x14ac:dyDescent="0.3">
      <c r="A204" s="11" t="s">
        <v>338</v>
      </c>
      <c r="B204" s="1" t="s">
        <v>373</v>
      </c>
      <c r="C204" s="1" t="s">
        <v>18</v>
      </c>
      <c r="D204" s="1">
        <v>2</v>
      </c>
      <c r="E204" s="6">
        <v>848</v>
      </c>
      <c r="F204" s="6">
        <v>1696</v>
      </c>
      <c r="G204" s="2" t="s">
        <v>19</v>
      </c>
    </row>
    <row r="205" spans="1:7" x14ac:dyDescent="0.3">
      <c r="A205" s="11" t="s">
        <v>374</v>
      </c>
      <c r="B205" s="1" t="s">
        <v>375</v>
      </c>
      <c r="C205" s="1" t="s">
        <v>6</v>
      </c>
      <c r="D205" s="1">
        <v>3</v>
      </c>
      <c r="E205" s="6">
        <v>614</v>
      </c>
      <c r="F205" s="6">
        <v>1842</v>
      </c>
      <c r="G205" s="2" t="s">
        <v>27</v>
      </c>
    </row>
    <row r="206" spans="1:7" x14ac:dyDescent="0.3">
      <c r="A206" s="11" t="s">
        <v>81</v>
      </c>
      <c r="B206" s="1" t="s">
        <v>376</v>
      </c>
      <c r="C206" s="1" t="s">
        <v>10</v>
      </c>
      <c r="D206" s="1">
        <v>4</v>
      </c>
      <c r="E206" s="6">
        <v>705</v>
      </c>
      <c r="F206" s="6">
        <v>2820</v>
      </c>
      <c r="G206" s="2" t="s">
        <v>33</v>
      </c>
    </row>
    <row r="207" spans="1:7" x14ac:dyDescent="0.3">
      <c r="A207" s="11" t="s">
        <v>116</v>
      </c>
      <c r="B207" s="1" t="s">
        <v>377</v>
      </c>
      <c r="C207" s="1" t="s">
        <v>79</v>
      </c>
      <c r="D207" s="1">
        <v>3</v>
      </c>
      <c r="E207" s="6">
        <v>651</v>
      </c>
      <c r="F207" s="6">
        <v>1953</v>
      </c>
      <c r="G207" s="2" t="s">
        <v>15</v>
      </c>
    </row>
    <row r="208" spans="1:7" x14ac:dyDescent="0.3">
      <c r="A208" s="11" t="s">
        <v>191</v>
      </c>
      <c r="B208" s="1" t="s">
        <v>378</v>
      </c>
      <c r="C208" s="1" t="s">
        <v>6</v>
      </c>
      <c r="D208" s="1">
        <v>6</v>
      </c>
      <c r="E208" s="6">
        <v>236</v>
      </c>
      <c r="F208" s="6">
        <v>1416</v>
      </c>
      <c r="G208" s="2" t="s">
        <v>11</v>
      </c>
    </row>
    <row r="209" spans="1:7" x14ac:dyDescent="0.3">
      <c r="A209" s="11" t="s">
        <v>343</v>
      </c>
      <c r="B209" s="1" t="s">
        <v>379</v>
      </c>
      <c r="C209" s="1" t="s">
        <v>30</v>
      </c>
      <c r="D209" s="1">
        <v>3</v>
      </c>
      <c r="E209" s="6">
        <v>836</v>
      </c>
      <c r="F209" s="6">
        <v>2508</v>
      </c>
      <c r="G209" s="2" t="s">
        <v>11</v>
      </c>
    </row>
    <row r="210" spans="1:7" x14ac:dyDescent="0.3">
      <c r="A210" s="11"/>
      <c r="B210" s="1" t="s">
        <v>380</v>
      </c>
      <c r="C210" s="1"/>
      <c r="D210" s="1">
        <v>1</v>
      </c>
      <c r="E210" s="6">
        <v>182</v>
      </c>
      <c r="F210" s="6">
        <v>182</v>
      </c>
      <c r="G210" s="2" t="s">
        <v>33</v>
      </c>
    </row>
    <row r="211" spans="1:7" x14ac:dyDescent="0.3">
      <c r="A211" s="11"/>
      <c r="B211" s="1" t="s">
        <v>381</v>
      </c>
      <c r="C211" s="1" t="s">
        <v>14</v>
      </c>
      <c r="D211" s="1">
        <v>4</v>
      </c>
      <c r="E211" s="6">
        <v>493</v>
      </c>
      <c r="F211" s="6">
        <v>1972</v>
      </c>
      <c r="G211" s="2" t="s">
        <v>7</v>
      </c>
    </row>
    <row r="212" spans="1:7" x14ac:dyDescent="0.3">
      <c r="A212" s="11" t="s">
        <v>382</v>
      </c>
      <c r="B212" s="1" t="s">
        <v>383</v>
      </c>
      <c r="C212" s="1" t="s">
        <v>65</v>
      </c>
      <c r="D212" s="1">
        <v>1</v>
      </c>
      <c r="E212" s="6">
        <v>564</v>
      </c>
      <c r="F212" s="6">
        <v>564</v>
      </c>
      <c r="G212" s="2" t="s">
        <v>11</v>
      </c>
    </row>
    <row r="213" spans="1:7" x14ac:dyDescent="0.3">
      <c r="A213" s="11" t="s">
        <v>150</v>
      </c>
      <c r="B213" s="1" t="s">
        <v>384</v>
      </c>
      <c r="C213" s="1" t="s">
        <v>18</v>
      </c>
      <c r="D213" s="1">
        <v>2</v>
      </c>
      <c r="E213" s="6">
        <v>982</v>
      </c>
      <c r="F213" s="6">
        <v>1964</v>
      </c>
      <c r="G213" s="2" t="s">
        <v>15</v>
      </c>
    </row>
    <row r="214" spans="1:7" x14ac:dyDescent="0.3">
      <c r="A214" s="11" t="s">
        <v>89</v>
      </c>
      <c r="B214" s="1" t="s">
        <v>385</v>
      </c>
      <c r="C214" s="1" t="s">
        <v>30</v>
      </c>
      <c r="D214" s="1">
        <v>2</v>
      </c>
      <c r="E214" s="6">
        <v>939</v>
      </c>
      <c r="F214" s="6">
        <v>1878</v>
      </c>
      <c r="G214" s="2" t="s">
        <v>33</v>
      </c>
    </row>
    <row r="215" spans="1:7" x14ac:dyDescent="0.3">
      <c r="A215" s="11"/>
      <c r="B215" s="1" t="s">
        <v>386</v>
      </c>
      <c r="C215" s="1" t="s">
        <v>24</v>
      </c>
      <c r="D215" s="1">
        <v>6</v>
      </c>
      <c r="E215" s="6">
        <v>106</v>
      </c>
      <c r="F215" s="6">
        <v>636</v>
      </c>
      <c r="G215" s="2" t="s">
        <v>19</v>
      </c>
    </row>
    <row r="216" spans="1:7" x14ac:dyDescent="0.3">
      <c r="A216" s="11" t="s">
        <v>85</v>
      </c>
      <c r="B216" s="1" t="s">
        <v>387</v>
      </c>
      <c r="C216" s="1" t="s">
        <v>68</v>
      </c>
      <c r="D216" s="1">
        <v>6</v>
      </c>
      <c r="E216" s="6">
        <v>901</v>
      </c>
      <c r="F216" s="6">
        <v>5406</v>
      </c>
      <c r="G216" s="2" t="s">
        <v>15</v>
      </c>
    </row>
    <row r="217" spans="1:7" x14ac:dyDescent="0.3">
      <c r="A217" s="11" t="s">
        <v>98</v>
      </c>
      <c r="B217" s="1" t="s">
        <v>388</v>
      </c>
      <c r="C217" s="1" t="s">
        <v>68</v>
      </c>
      <c r="D217" s="1">
        <v>6</v>
      </c>
      <c r="E217" s="6">
        <v>177</v>
      </c>
      <c r="F217" s="6">
        <v>1062</v>
      </c>
      <c r="G217" s="2" t="s">
        <v>11</v>
      </c>
    </row>
    <row r="218" spans="1:7" x14ac:dyDescent="0.3">
      <c r="A218" s="11"/>
      <c r="B218" s="1" t="s">
        <v>389</v>
      </c>
      <c r="C218" s="1" t="s">
        <v>65</v>
      </c>
      <c r="D218" s="1">
        <v>4</v>
      </c>
      <c r="E218" s="6">
        <v>580</v>
      </c>
      <c r="F218" s="6">
        <v>2320</v>
      </c>
      <c r="G218" s="2" t="s">
        <v>19</v>
      </c>
    </row>
    <row r="219" spans="1:7" x14ac:dyDescent="0.3">
      <c r="A219" s="11" t="s">
        <v>390</v>
      </c>
      <c r="B219" s="1" t="s">
        <v>391</v>
      </c>
      <c r="C219" s="1" t="s">
        <v>18</v>
      </c>
      <c r="D219" s="1">
        <v>5</v>
      </c>
      <c r="E219" s="6">
        <v>206</v>
      </c>
      <c r="F219" s="6">
        <v>1030</v>
      </c>
      <c r="G219" s="2" t="s">
        <v>15</v>
      </c>
    </row>
    <row r="220" spans="1:7" x14ac:dyDescent="0.3">
      <c r="A220" s="11" t="s">
        <v>257</v>
      </c>
      <c r="B220" s="1" t="s">
        <v>392</v>
      </c>
      <c r="C220" s="1" t="s">
        <v>65</v>
      </c>
      <c r="D220" s="1">
        <v>3</v>
      </c>
      <c r="E220" s="6">
        <v>361</v>
      </c>
      <c r="F220" s="6">
        <v>1083</v>
      </c>
      <c r="G220" s="2" t="s">
        <v>11</v>
      </c>
    </row>
    <row r="221" spans="1:7" x14ac:dyDescent="0.3">
      <c r="A221" s="11" t="s">
        <v>371</v>
      </c>
      <c r="B221" s="1" t="s">
        <v>393</v>
      </c>
      <c r="C221" s="1" t="s">
        <v>38</v>
      </c>
      <c r="D221" s="1">
        <v>1</v>
      </c>
      <c r="E221" s="6">
        <v>218</v>
      </c>
      <c r="F221" s="6">
        <v>218</v>
      </c>
      <c r="G221" s="2" t="s">
        <v>33</v>
      </c>
    </row>
    <row r="222" spans="1:7" x14ac:dyDescent="0.3">
      <c r="A222" s="11" t="s">
        <v>57</v>
      </c>
      <c r="B222" s="1" t="s">
        <v>394</v>
      </c>
      <c r="C222" s="1" t="s">
        <v>18</v>
      </c>
      <c r="D222" s="1">
        <v>4</v>
      </c>
      <c r="E222" s="6">
        <v>215</v>
      </c>
      <c r="F222" s="6">
        <v>860</v>
      </c>
      <c r="G222" s="2" t="s">
        <v>11</v>
      </c>
    </row>
    <row r="223" spans="1:7" x14ac:dyDescent="0.3">
      <c r="A223" s="11" t="s">
        <v>16</v>
      </c>
      <c r="B223" s="1" t="s">
        <v>395</v>
      </c>
      <c r="C223" s="1" t="s">
        <v>6</v>
      </c>
      <c r="D223" s="1">
        <v>1</v>
      </c>
      <c r="E223" s="6">
        <v>380</v>
      </c>
      <c r="F223" s="6">
        <v>380</v>
      </c>
      <c r="G223" s="2" t="s">
        <v>11</v>
      </c>
    </row>
    <row r="224" spans="1:7" x14ac:dyDescent="0.3">
      <c r="A224" s="11"/>
      <c r="B224" s="1" t="s">
        <v>396</v>
      </c>
      <c r="C224" s="1" t="s">
        <v>6</v>
      </c>
      <c r="D224" s="1">
        <v>3</v>
      </c>
      <c r="E224" s="6">
        <v>776</v>
      </c>
      <c r="F224" s="6">
        <v>2328</v>
      </c>
      <c r="G224" s="2" t="s">
        <v>7</v>
      </c>
    </row>
    <row r="225" spans="1:7" x14ac:dyDescent="0.3">
      <c r="A225" s="11" t="s">
        <v>397</v>
      </c>
      <c r="B225" s="1" t="s">
        <v>398</v>
      </c>
      <c r="C225" s="1"/>
      <c r="D225" s="1">
        <v>5</v>
      </c>
      <c r="E225" s="6">
        <v>280</v>
      </c>
      <c r="F225" s="6">
        <v>1400</v>
      </c>
      <c r="G225" s="2" t="s">
        <v>7</v>
      </c>
    </row>
    <row r="226" spans="1:7" x14ac:dyDescent="0.3">
      <c r="A226" s="11" t="s">
        <v>153</v>
      </c>
      <c r="B226" s="1" t="s">
        <v>399</v>
      </c>
      <c r="C226" s="1" t="s">
        <v>79</v>
      </c>
      <c r="D226" s="1">
        <v>1</v>
      </c>
      <c r="E226" s="6">
        <v>404</v>
      </c>
      <c r="F226" s="6">
        <v>404</v>
      </c>
      <c r="G226" s="2" t="s">
        <v>7</v>
      </c>
    </row>
    <row r="227" spans="1:7" x14ac:dyDescent="0.3">
      <c r="A227" s="11" t="s">
        <v>400</v>
      </c>
      <c r="B227" s="1" t="s">
        <v>401</v>
      </c>
      <c r="C227" s="1" t="s">
        <v>38</v>
      </c>
      <c r="D227" s="1">
        <v>4</v>
      </c>
      <c r="E227" s="6">
        <v>581</v>
      </c>
      <c r="F227" s="6">
        <v>2324</v>
      </c>
      <c r="G227" s="2" t="s">
        <v>19</v>
      </c>
    </row>
    <row r="228" spans="1:7" x14ac:dyDescent="0.3">
      <c r="A228" s="11" t="s">
        <v>402</v>
      </c>
      <c r="B228" s="1" t="s">
        <v>403</v>
      </c>
      <c r="C228" s="1"/>
      <c r="D228" s="1">
        <v>3</v>
      </c>
      <c r="E228" s="6">
        <v>966</v>
      </c>
      <c r="F228" s="6">
        <v>2898</v>
      </c>
      <c r="G228" s="2" t="s">
        <v>15</v>
      </c>
    </row>
    <row r="229" spans="1:7" x14ac:dyDescent="0.3">
      <c r="A229" s="11" t="s">
        <v>404</v>
      </c>
      <c r="B229" s="1" t="s">
        <v>405</v>
      </c>
      <c r="C229" s="1" t="s">
        <v>65</v>
      </c>
      <c r="D229" s="1">
        <v>6</v>
      </c>
      <c r="E229" s="6">
        <v>340</v>
      </c>
      <c r="F229" s="6">
        <v>2040</v>
      </c>
      <c r="G229" s="2" t="s">
        <v>19</v>
      </c>
    </row>
    <row r="230" spans="1:7" x14ac:dyDescent="0.3">
      <c r="A230" s="11" t="s">
        <v>136</v>
      </c>
      <c r="B230" s="1" t="s">
        <v>406</v>
      </c>
      <c r="C230" s="1" t="s">
        <v>10</v>
      </c>
      <c r="D230" s="1">
        <v>6</v>
      </c>
      <c r="E230" s="6">
        <v>916</v>
      </c>
      <c r="F230" s="6">
        <v>5496</v>
      </c>
      <c r="G230" s="2" t="s">
        <v>33</v>
      </c>
    </row>
    <row r="231" spans="1:7" x14ac:dyDescent="0.3">
      <c r="A231" s="11" t="s">
        <v>407</v>
      </c>
      <c r="B231" s="1" t="s">
        <v>408</v>
      </c>
      <c r="C231" s="1" t="s">
        <v>6</v>
      </c>
      <c r="D231" s="1">
        <v>6</v>
      </c>
      <c r="E231" s="6">
        <v>130</v>
      </c>
      <c r="F231" s="6">
        <v>780</v>
      </c>
      <c r="G231" s="2" t="s">
        <v>33</v>
      </c>
    </row>
    <row r="232" spans="1:7" x14ac:dyDescent="0.3">
      <c r="A232" s="11"/>
      <c r="B232" s="1" t="s">
        <v>409</v>
      </c>
      <c r="C232" s="1" t="s">
        <v>10</v>
      </c>
      <c r="D232" s="1">
        <v>3</v>
      </c>
      <c r="E232" s="6">
        <v>306</v>
      </c>
      <c r="F232" s="6">
        <v>918</v>
      </c>
      <c r="G232" s="2" t="s">
        <v>19</v>
      </c>
    </row>
    <row r="233" spans="1:7" x14ac:dyDescent="0.3">
      <c r="A233" s="11" t="s">
        <v>202</v>
      </c>
      <c r="B233" s="1" t="s">
        <v>410</v>
      </c>
      <c r="C233" s="1" t="s">
        <v>38</v>
      </c>
      <c r="D233" s="1">
        <v>5</v>
      </c>
      <c r="E233" s="6">
        <v>251</v>
      </c>
      <c r="F233" s="6">
        <v>1255</v>
      </c>
      <c r="G233" s="2" t="s">
        <v>11</v>
      </c>
    </row>
    <row r="234" spans="1:7" x14ac:dyDescent="0.3">
      <c r="A234" s="11" t="s">
        <v>226</v>
      </c>
      <c r="B234" s="1" t="s">
        <v>411</v>
      </c>
      <c r="C234" s="1" t="s">
        <v>79</v>
      </c>
      <c r="D234" s="1">
        <v>4</v>
      </c>
      <c r="E234" s="6">
        <v>700</v>
      </c>
      <c r="F234" s="6">
        <v>2800</v>
      </c>
      <c r="G234" s="2" t="s">
        <v>27</v>
      </c>
    </row>
    <row r="235" spans="1:7" x14ac:dyDescent="0.3">
      <c r="A235" s="11" t="s">
        <v>95</v>
      </c>
      <c r="B235" s="1" t="s">
        <v>412</v>
      </c>
      <c r="C235" s="1" t="s">
        <v>6</v>
      </c>
      <c r="D235" s="1">
        <v>6</v>
      </c>
      <c r="E235" s="6">
        <v>614</v>
      </c>
      <c r="F235" s="6">
        <v>3684</v>
      </c>
      <c r="G235" s="2" t="s">
        <v>27</v>
      </c>
    </row>
    <row r="236" spans="1:7" x14ac:dyDescent="0.3">
      <c r="A236" s="11" t="s">
        <v>53</v>
      </c>
      <c r="B236" s="1" t="s">
        <v>413</v>
      </c>
      <c r="C236" s="1" t="s">
        <v>18</v>
      </c>
      <c r="D236" s="1">
        <v>3</v>
      </c>
      <c r="E236" s="6">
        <v>331</v>
      </c>
      <c r="F236" s="6">
        <v>993</v>
      </c>
      <c r="G236" s="2" t="s">
        <v>11</v>
      </c>
    </row>
    <row r="237" spans="1:7" x14ac:dyDescent="0.3">
      <c r="A237" s="11" t="s">
        <v>414</v>
      </c>
      <c r="B237" s="1" t="s">
        <v>415</v>
      </c>
      <c r="C237" s="1"/>
      <c r="D237" s="1">
        <v>1</v>
      </c>
      <c r="E237" s="6">
        <v>178</v>
      </c>
      <c r="F237" s="6">
        <v>178</v>
      </c>
      <c r="G237" s="2" t="s">
        <v>27</v>
      </c>
    </row>
    <row r="238" spans="1:7" x14ac:dyDescent="0.3">
      <c r="A238" s="11" t="s">
        <v>416</v>
      </c>
      <c r="B238" s="1" t="s">
        <v>417</v>
      </c>
      <c r="C238" s="1"/>
      <c r="D238" s="1">
        <v>6</v>
      </c>
      <c r="E238" s="6">
        <v>690</v>
      </c>
      <c r="F238" s="6">
        <v>4140</v>
      </c>
      <c r="G238" s="2" t="s">
        <v>33</v>
      </c>
    </row>
    <row r="239" spans="1:7" x14ac:dyDescent="0.3">
      <c r="A239" s="11" t="s">
        <v>418</v>
      </c>
      <c r="B239" s="1" t="s">
        <v>419</v>
      </c>
      <c r="C239" s="1" t="s">
        <v>30</v>
      </c>
      <c r="D239" s="1">
        <v>0</v>
      </c>
      <c r="E239" s="6">
        <v>360</v>
      </c>
      <c r="F239" s="6">
        <v>0</v>
      </c>
      <c r="G239" s="2" t="s">
        <v>19</v>
      </c>
    </row>
    <row r="240" spans="1:7" x14ac:dyDescent="0.3">
      <c r="A240" s="11" t="s">
        <v>420</v>
      </c>
      <c r="B240" s="1" t="s">
        <v>421</v>
      </c>
      <c r="C240" s="1" t="s">
        <v>65</v>
      </c>
      <c r="D240" s="1">
        <v>4</v>
      </c>
      <c r="E240" s="6">
        <v>679</v>
      </c>
      <c r="F240" s="6">
        <v>2716</v>
      </c>
      <c r="G240" s="2" t="s">
        <v>15</v>
      </c>
    </row>
    <row r="241" spans="1:7" x14ac:dyDescent="0.3">
      <c r="A241" s="11" t="s">
        <v>208</v>
      </c>
      <c r="B241" s="1" t="s">
        <v>422</v>
      </c>
      <c r="C241" s="1" t="s">
        <v>24</v>
      </c>
      <c r="D241" s="1">
        <v>1</v>
      </c>
      <c r="E241" s="6">
        <v>596</v>
      </c>
      <c r="F241" s="6">
        <v>596</v>
      </c>
      <c r="G241" s="2" t="s">
        <v>7</v>
      </c>
    </row>
    <row r="242" spans="1:7" x14ac:dyDescent="0.3">
      <c r="A242" s="11" t="s">
        <v>277</v>
      </c>
      <c r="B242" s="1" t="s">
        <v>423</v>
      </c>
      <c r="C242" s="1" t="s">
        <v>38</v>
      </c>
      <c r="D242" s="1">
        <v>5</v>
      </c>
      <c r="E242" s="6">
        <v>145</v>
      </c>
      <c r="F242" s="6">
        <v>725</v>
      </c>
      <c r="G242" s="2" t="s">
        <v>33</v>
      </c>
    </row>
    <row r="243" spans="1:7" x14ac:dyDescent="0.3">
      <c r="A243" s="11" t="s">
        <v>221</v>
      </c>
      <c r="B243" s="1" t="s">
        <v>424</v>
      </c>
      <c r="C243" s="1" t="s">
        <v>24</v>
      </c>
      <c r="D243" s="1">
        <v>5</v>
      </c>
      <c r="E243" s="6">
        <v>564</v>
      </c>
      <c r="F243" s="6">
        <v>2820</v>
      </c>
      <c r="G243" s="2" t="s">
        <v>19</v>
      </c>
    </row>
    <row r="244" spans="1:7" x14ac:dyDescent="0.3">
      <c r="A244" s="11" t="s">
        <v>28</v>
      </c>
      <c r="B244" s="1" t="s">
        <v>425</v>
      </c>
      <c r="C244" s="1" t="s">
        <v>14</v>
      </c>
      <c r="D244" s="1">
        <v>3</v>
      </c>
      <c r="E244" s="6">
        <v>706</v>
      </c>
      <c r="F244" s="6">
        <v>2118</v>
      </c>
      <c r="G244" s="2" t="s">
        <v>33</v>
      </c>
    </row>
    <row r="245" spans="1:7" x14ac:dyDescent="0.3">
      <c r="A245" s="11" t="s">
        <v>426</v>
      </c>
      <c r="B245" s="1" t="s">
        <v>427</v>
      </c>
      <c r="C245" s="1" t="s">
        <v>65</v>
      </c>
      <c r="D245" s="1">
        <v>5</v>
      </c>
      <c r="E245" s="6">
        <v>222</v>
      </c>
      <c r="F245" s="6">
        <v>1110</v>
      </c>
      <c r="G245" s="2"/>
    </row>
    <row r="246" spans="1:7" x14ac:dyDescent="0.3">
      <c r="A246" s="11" t="s">
        <v>428</v>
      </c>
      <c r="B246" s="1" t="s">
        <v>429</v>
      </c>
      <c r="C246" s="1" t="s">
        <v>18</v>
      </c>
      <c r="D246" s="1">
        <v>2</v>
      </c>
      <c r="E246" s="6">
        <v>656</v>
      </c>
      <c r="F246" s="6">
        <v>1312</v>
      </c>
      <c r="G246" s="2" t="s">
        <v>19</v>
      </c>
    </row>
    <row r="247" spans="1:7" x14ac:dyDescent="0.3">
      <c r="A247" s="11"/>
      <c r="B247" s="1" t="s">
        <v>430</v>
      </c>
      <c r="C247" s="1" t="s">
        <v>6</v>
      </c>
      <c r="D247" s="1">
        <v>6</v>
      </c>
      <c r="E247" s="6">
        <v>644</v>
      </c>
      <c r="F247" s="6">
        <v>3864</v>
      </c>
      <c r="G247" s="2" t="s">
        <v>15</v>
      </c>
    </row>
    <row r="248" spans="1:7" x14ac:dyDescent="0.3">
      <c r="A248" s="11"/>
      <c r="B248" s="1" t="s">
        <v>431</v>
      </c>
      <c r="C248" s="1" t="s">
        <v>65</v>
      </c>
      <c r="D248" s="1">
        <v>1</v>
      </c>
      <c r="E248" s="6">
        <v>207</v>
      </c>
      <c r="F248" s="6">
        <v>207</v>
      </c>
      <c r="G248" s="2" t="s">
        <v>27</v>
      </c>
    </row>
    <row r="249" spans="1:7" x14ac:dyDescent="0.3">
      <c r="A249" s="11" t="s">
        <v>66</v>
      </c>
      <c r="B249" s="1" t="s">
        <v>432</v>
      </c>
      <c r="C249" s="1" t="s">
        <v>30</v>
      </c>
      <c r="D249" s="1">
        <v>6</v>
      </c>
      <c r="E249" s="6">
        <v>225</v>
      </c>
      <c r="F249" s="6">
        <v>1350</v>
      </c>
      <c r="G249" s="2" t="s">
        <v>33</v>
      </c>
    </row>
    <row r="250" spans="1:7" x14ac:dyDescent="0.3">
      <c r="A250" s="11"/>
      <c r="B250" s="1" t="s">
        <v>433</v>
      </c>
      <c r="C250" s="1" t="s">
        <v>6</v>
      </c>
      <c r="D250" s="1">
        <v>4</v>
      </c>
      <c r="E250" s="6">
        <v>724</v>
      </c>
      <c r="F250" s="6">
        <v>2896</v>
      </c>
      <c r="G250" s="2" t="s">
        <v>15</v>
      </c>
    </row>
    <row r="251" spans="1:7" x14ac:dyDescent="0.3">
      <c r="A251" s="11" t="s">
        <v>434</v>
      </c>
      <c r="B251" s="1" t="s">
        <v>435</v>
      </c>
      <c r="C251" s="1" t="s">
        <v>10</v>
      </c>
      <c r="D251" s="1">
        <v>0</v>
      </c>
      <c r="E251" s="6">
        <v>689</v>
      </c>
      <c r="F251" s="6">
        <v>0</v>
      </c>
      <c r="G251" s="2" t="s">
        <v>19</v>
      </c>
    </row>
    <row r="252" spans="1:7" x14ac:dyDescent="0.3">
      <c r="A252" s="11" t="s">
        <v>436</v>
      </c>
      <c r="B252" s="1" t="s">
        <v>437</v>
      </c>
      <c r="C252" s="1" t="s">
        <v>30</v>
      </c>
      <c r="D252" s="1">
        <v>3</v>
      </c>
      <c r="E252" s="6">
        <v>787</v>
      </c>
      <c r="F252" s="6">
        <v>2361</v>
      </c>
      <c r="G252" s="2" t="s">
        <v>11</v>
      </c>
    </row>
    <row r="253" spans="1:7" x14ac:dyDescent="0.3">
      <c r="A253" s="11" t="s">
        <v>251</v>
      </c>
      <c r="B253" s="1" t="s">
        <v>438</v>
      </c>
      <c r="C253" s="1"/>
      <c r="D253" s="1">
        <v>6</v>
      </c>
      <c r="E253" s="6">
        <v>973</v>
      </c>
      <c r="F253" s="6">
        <v>5838</v>
      </c>
      <c r="G253" s="2" t="s">
        <v>11</v>
      </c>
    </row>
    <row r="254" spans="1:7" x14ac:dyDescent="0.3">
      <c r="A254" s="11" t="s">
        <v>439</v>
      </c>
      <c r="B254" s="1" t="s">
        <v>440</v>
      </c>
      <c r="C254" s="1" t="s">
        <v>6</v>
      </c>
      <c r="D254" s="1" t="e">
        <v>#DIV/0!</v>
      </c>
      <c r="E254" s="6" t="e">
        <v>#DIV/0!</v>
      </c>
      <c r="F254" s="6">
        <v>2676</v>
      </c>
      <c r="G254" s="2" t="s">
        <v>19</v>
      </c>
    </row>
    <row r="255" spans="1:7" x14ac:dyDescent="0.3">
      <c r="A255" s="11" t="s">
        <v>441</v>
      </c>
      <c r="B255" s="1" t="s">
        <v>442</v>
      </c>
      <c r="C255" s="1" t="s">
        <v>18</v>
      </c>
      <c r="D255" s="1">
        <v>1</v>
      </c>
      <c r="E255" s="6">
        <v>395</v>
      </c>
      <c r="F255" s="6">
        <v>395</v>
      </c>
      <c r="G255" s="2" t="s">
        <v>11</v>
      </c>
    </row>
    <row r="256" spans="1:7" x14ac:dyDescent="0.3">
      <c r="A256" s="11" t="s">
        <v>156</v>
      </c>
      <c r="B256" s="1" t="s">
        <v>443</v>
      </c>
      <c r="C256" s="1" t="s">
        <v>24</v>
      </c>
      <c r="D256" s="1">
        <v>2</v>
      </c>
      <c r="E256" s="6">
        <v>912</v>
      </c>
      <c r="F256" s="6">
        <v>1824</v>
      </c>
      <c r="G256" s="2" t="s">
        <v>27</v>
      </c>
    </row>
    <row r="257" spans="1:7" x14ac:dyDescent="0.3">
      <c r="A257" s="11" t="s">
        <v>444</v>
      </c>
      <c r="B257" s="1" t="s">
        <v>445</v>
      </c>
      <c r="C257" s="1" t="s">
        <v>38</v>
      </c>
      <c r="D257" s="1">
        <v>1</v>
      </c>
      <c r="E257" s="6">
        <v>996</v>
      </c>
      <c r="F257" s="6">
        <v>996</v>
      </c>
      <c r="G257" s="2" t="s">
        <v>33</v>
      </c>
    </row>
    <row r="258" spans="1:7" x14ac:dyDescent="0.3">
      <c r="A258" s="11" t="s">
        <v>446</v>
      </c>
      <c r="B258" s="1" t="s">
        <v>447</v>
      </c>
      <c r="C258" s="1" t="s">
        <v>65</v>
      </c>
      <c r="D258" s="1">
        <v>1</v>
      </c>
      <c r="E258" s="6">
        <v>627</v>
      </c>
      <c r="F258" s="6">
        <v>627</v>
      </c>
      <c r="G258" s="2" t="s">
        <v>15</v>
      </c>
    </row>
    <row r="259" spans="1:7" x14ac:dyDescent="0.3">
      <c r="A259" s="11" t="s">
        <v>448</v>
      </c>
      <c r="B259" s="1" t="s">
        <v>449</v>
      </c>
      <c r="C259" s="1" t="s">
        <v>65</v>
      </c>
      <c r="D259" s="1">
        <v>3</v>
      </c>
      <c r="E259" s="6">
        <v>92</v>
      </c>
      <c r="F259" s="6">
        <v>276</v>
      </c>
      <c r="G259" s="2" t="s">
        <v>7</v>
      </c>
    </row>
    <row r="260" spans="1:7" x14ac:dyDescent="0.3">
      <c r="A260" s="11" t="s">
        <v>312</v>
      </c>
      <c r="B260" s="1" t="s">
        <v>450</v>
      </c>
      <c r="C260" s="1" t="s">
        <v>18</v>
      </c>
      <c r="D260" s="1" t="e">
        <v>#DIV/0!</v>
      </c>
      <c r="E260" s="6" t="e">
        <v>#DIV/0!</v>
      </c>
      <c r="F260" s="6">
        <v>3580</v>
      </c>
      <c r="G260" s="2" t="s">
        <v>15</v>
      </c>
    </row>
    <row r="261" spans="1:7" x14ac:dyDescent="0.3">
      <c r="A261" s="11" t="s">
        <v>451</v>
      </c>
      <c r="B261" s="1" t="s">
        <v>452</v>
      </c>
      <c r="C261" s="1" t="s">
        <v>38</v>
      </c>
      <c r="D261" s="1">
        <v>1</v>
      </c>
      <c r="E261" s="6">
        <v>934</v>
      </c>
      <c r="F261" s="6">
        <v>934</v>
      </c>
      <c r="G261" s="2" t="s">
        <v>7</v>
      </c>
    </row>
    <row r="262" spans="1:7" x14ac:dyDescent="0.3">
      <c r="A262" s="11" t="s">
        <v>453</v>
      </c>
      <c r="B262" s="1" t="s">
        <v>454</v>
      </c>
      <c r="C262" s="1" t="s">
        <v>10</v>
      </c>
      <c r="D262" s="1">
        <v>1</v>
      </c>
      <c r="E262" s="6">
        <v>79</v>
      </c>
      <c r="F262" s="6">
        <v>79</v>
      </c>
      <c r="G262" s="2" t="s">
        <v>19</v>
      </c>
    </row>
    <row r="263" spans="1:7" x14ac:dyDescent="0.3">
      <c r="A263" s="11"/>
      <c r="B263" s="1" t="s">
        <v>455</v>
      </c>
      <c r="C263" s="1" t="s">
        <v>24</v>
      </c>
      <c r="D263" s="1">
        <v>2</v>
      </c>
      <c r="E263" s="6">
        <v>133</v>
      </c>
      <c r="F263" s="6">
        <v>266</v>
      </c>
      <c r="G263" s="2" t="s">
        <v>19</v>
      </c>
    </row>
    <row r="264" spans="1:7" x14ac:dyDescent="0.3">
      <c r="A264" s="11" t="s">
        <v>407</v>
      </c>
      <c r="B264" s="1" t="s">
        <v>456</v>
      </c>
      <c r="C264" s="1" t="s">
        <v>38</v>
      </c>
      <c r="D264" s="1">
        <v>5</v>
      </c>
      <c r="E264" s="6">
        <v>96</v>
      </c>
      <c r="F264" s="6">
        <v>480</v>
      </c>
      <c r="G264" s="2" t="s">
        <v>7</v>
      </c>
    </row>
    <row r="265" spans="1:7" x14ac:dyDescent="0.3">
      <c r="A265" s="11" t="s">
        <v>193</v>
      </c>
      <c r="B265" s="1" t="s">
        <v>457</v>
      </c>
      <c r="C265" s="1"/>
      <c r="D265" s="1">
        <v>2</v>
      </c>
      <c r="E265" s="6">
        <v>706</v>
      </c>
      <c r="F265" s="6">
        <v>1412</v>
      </c>
      <c r="G265" s="2" t="s">
        <v>33</v>
      </c>
    </row>
    <row r="266" spans="1:7" x14ac:dyDescent="0.3">
      <c r="A266" s="11" t="s">
        <v>312</v>
      </c>
      <c r="B266" s="1" t="s">
        <v>458</v>
      </c>
      <c r="C266" s="1" t="s">
        <v>38</v>
      </c>
      <c r="D266" s="1">
        <v>4</v>
      </c>
      <c r="E266" s="6">
        <v>839</v>
      </c>
      <c r="F266" s="6">
        <v>3356</v>
      </c>
      <c r="G266" s="2" t="s">
        <v>11</v>
      </c>
    </row>
    <row r="267" spans="1:7" x14ac:dyDescent="0.3">
      <c r="A267" s="11" t="s">
        <v>326</v>
      </c>
      <c r="B267" s="1" t="s">
        <v>459</v>
      </c>
      <c r="C267" s="1" t="s">
        <v>14</v>
      </c>
      <c r="D267" s="1">
        <v>4</v>
      </c>
      <c r="E267" s="6">
        <v>640</v>
      </c>
      <c r="F267" s="6">
        <v>2560</v>
      </c>
      <c r="G267" s="2" t="s">
        <v>19</v>
      </c>
    </row>
    <row r="268" spans="1:7" x14ac:dyDescent="0.3">
      <c r="A268" s="11" t="s">
        <v>460</v>
      </c>
      <c r="B268" s="1" t="s">
        <v>461</v>
      </c>
      <c r="C268" s="1" t="s">
        <v>65</v>
      </c>
      <c r="D268" s="1">
        <v>3</v>
      </c>
      <c r="E268" s="6">
        <v>321</v>
      </c>
      <c r="F268" s="6">
        <v>963</v>
      </c>
      <c r="G268" s="2" t="s">
        <v>27</v>
      </c>
    </row>
    <row r="269" spans="1:7" x14ac:dyDescent="0.3">
      <c r="A269" s="11"/>
      <c r="B269" s="1" t="s">
        <v>462</v>
      </c>
      <c r="C269" s="1"/>
      <c r="D269" s="1">
        <v>6</v>
      </c>
      <c r="E269" s="6">
        <v>716</v>
      </c>
      <c r="F269" s="6">
        <v>4296</v>
      </c>
      <c r="G269" s="2" t="s">
        <v>27</v>
      </c>
    </row>
    <row r="270" spans="1:7" x14ac:dyDescent="0.3">
      <c r="A270" s="11" t="s">
        <v>463</v>
      </c>
      <c r="B270" s="1" t="s">
        <v>464</v>
      </c>
      <c r="C270" s="1" t="s">
        <v>38</v>
      </c>
      <c r="D270" s="1">
        <v>6</v>
      </c>
      <c r="E270" s="6">
        <v>265</v>
      </c>
      <c r="F270" s="6">
        <v>1590</v>
      </c>
      <c r="G270" s="2" t="s">
        <v>27</v>
      </c>
    </row>
    <row r="271" spans="1:7" x14ac:dyDescent="0.3">
      <c r="A271" s="11" t="s">
        <v>251</v>
      </c>
      <c r="B271" s="1" t="s">
        <v>465</v>
      </c>
      <c r="C271" s="1" t="s">
        <v>30</v>
      </c>
      <c r="D271" s="1">
        <v>6</v>
      </c>
      <c r="E271" s="6">
        <v>835</v>
      </c>
      <c r="F271" s="6">
        <v>5010</v>
      </c>
      <c r="G271" s="2" t="s">
        <v>33</v>
      </c>
    </row>
    <row r="272" spans="1:7" x14ac:dyDescent="0.3">
      <c r="A272" s="11" t="s">
        <v>341</v>
      </c>
      <c r="B272" s="1" t="s">
        <v>466</v>
      </c>
      <c r="C272" s="1" t="s">
        <v>65</v>
      </c>
      <c r="D272" s="1">
        <v>5</v>
      </c>
      <c r="E272" s="6">
        <v>635</v>
      </c>
      <c r="F272" s="6">
        <v>3175</v>
      </c>
      <c r="G272" s="2"/>
    </row>
    <row r="273" spans="1:7" x14ac:dyDescent="0.3">
      <c r="A273" s="11" t="s">
        <v>467</v>
      </c>
      <c r="B273" s="1" t="s">
        <v>468</v>
      </c>
      <c r="C273" s="1" t="s">
        <v>24</v>
      </c>
      <c r="D273" s="1">
        <v>4</v>
      </c>
      <c r="E273" s="6">
        <v>476</v>
      </c>
      <c r="F273" s="6">
        <v>1904</v>
      </c>
      <c r="G273" s="2" t="s">
        <v>7</v>
      </c>
    </row>
    <row r="274" spans="1:7" x14ac:dyDescent="0.3">
      <c r="A274" s="11" t="s">
        <v>184</v>
      </c>
      <c r="B274" s="1" t="s">
        <v>469</v>
      </c>
      <c r="C274" s="1" t="s">
        <v>18</v>
      </c>
      <c r="D274" s="1">
        <v>5</v>
      </c>
      <c r="E274" s="6">
        <v>682</v>
      </c>
      <c r="F274" s="6">
        <v>3410</v>
      </c>
      <c r="G274" s="2" t="s">
        <v>33</v>
      </c>
    </row>
    <row r="275" spans="1:7" x14ac:dyDescent="0.3">
      <c r="A275" s="11" t="s">
        <v>125</v>
      </c>
      <c r="B275" s="1" t="s">
        <v>470</v>
      </c>
      <c r="C275" s="1" t="s">
        <v>14</v>
      </c>
      <c r="D275" s="1">
        <v>6</v>
      </c>
      <c r="E275" s="6">
        <v>704</v>
      </c>
      <c r="F275" s="6">
        <v>4224</v>
      </c>
      <c r="G275" s="2" t="s">
        <v>11</v>
      </c>
    </row>
    <row r="276" spans="1:7" x14ac:dyDescent="0.3">
      <c r="A276" s="11"/>
      <c r="B276" s="1" t="s">
        <v>471</v>
      </c>
      <c r="C276" s="1" t="s">
        <v>18</v>
      </c>
      <c r="D276" s="1" t="e">
        <v>#DIV/0!</v>
      </c>
      <c r="E276" s="6" t="e">
        <v>#DIV/0!</v>
      </c>
      <c r="F276" s="6">
        <v>486</v>
      </c>
      <c r="G276" s="2" t="s">
        <v>33</v>
      </c>
    </row>
    <row r="277" spans="1:7" x14ac:dyDescent="0.3">
      <c r="A277" s="11" t="s">
        <v>472</v>
      </c>
      <c r="B277" s="1" t="s">
        <v>473</v>
      </c>
      <c r="C277" s="1" t="s">
        <v>10</v>
      </c>
      <c r="D277" s="1">
        <v>2</v>
      </c>
      <c r="E277" s="6">
        <v>559</v>
      </c>
      <c r="F277" s="6">
        <v>1118</v>
      </c>
      <c r="G277" s="2"/>
    </row>
    <row r="278" spans="1:7" x14ac:dyDescent="0.3">
      <c r="A278" s="11" t="s">
        <v>102</v>
      </c>
      <c r="B278" s="1" t="s">
        <v>474</v>
      </c>
      <c r="C278" s="1" t="s">
        <v>68</v>
      </c>
      <c r="D278" s="1">
        <v>4</v>
      </c>
      <c r="E278" s="6">
        <v>960</v>
      </c>
      <c r="F278" s="6">
        <v>3840</v>
      </c>
      <c r="G278" s="2" t="s">
        <v>19</v>
      </c>
    </row>
    <row r="279" spans="1:7" x14ac:dyDescent="0.3">
      <c r="A279" s="11" t="s">
        <v>198</v>
      </c>
      <c r="B279" s="1" t="s">
        <v>475</v>
      </c>
      <c r="C279" s="1" t="s">
        <v>30</v>
      </c>
      <c r="D279" s="1">
        <v>6</v>
      </c>
      <c r="E279" s="6">
        <v>692</v>
      </c>
      <c r="F279" s="6">
        <v>4152</v>
      </c>
      <c r="G279" s="2" t="s">
        <v>27</v>
      </c>
    </row>
    <row r="280" spans="1:7" x14ac:dyDescent="0.3">
      <c r="A280" s="11" t="s">
        <v>150</v>
      </c>
      <c r="B280" s="1" t="s">
        <v>476</v>
      </c>
      <c r="C280" s="1" t="s">
        <v>10</v>
      </c>
      <c r="D280" s="1">
        <v>1</v>
      </c>
      <c r="E280" s="6">
        <v>608</v>
      </c>
      <c r="F280" s="6">
        <v>608</v>
      </c>
      <c r="G280" s="2" t="s">
        <v>27</v>
      </c>
    </row>
    <row r="281" spans="1:7" x14ac:dyDescent="0.3">
      <c r="A281" s="11" t="s">
        <v>477</v>
      </c>
      <c r="B281" s="1" t="s">
        <v>478</v>
      </c>
      <c r="C281" s="1" t="s">
        <v>79</v>
      </c>
      <c r="D281" s="1">
        <v>4</v>
      </c>
      <c r="E281" s="6">
        <v>346</v>
      </c>
      <c r="F281" s="6">
        <v>1384</v>
      </c>
      <c r="G281" s="2" t="s">
        <v>27</v>
      </c>
    </row>
    <row r="282" spans="1:7" x14ac:dyDescent="0.3">
      <c r="A282" s="11" t="s">
        <v>71</v>
      </c>
      <c r="B282" s="1" t="s">
        <v>479</v>
      </c>
      <c r="C282" s="1" t="s">
        <v>10</v>
      </c>
      <c r="D282" s="1">
        <v>5</v>
      </c>
      <c r="E282" s="6">
        <v>707</v>
      </c>
      <c r="F282" s="6">
        <v>3535</v>
      </c>
      <c r="G282" s="2" t="s">
        <v>19</v>
      </c>
    </row>
    <row r="283" spans="1:7" x14ac:dyDescent="0.3">
      <c r="A283" s="11" t="s">
        <v>480</v>
      </c>
      <c r="B283" s="1" t="s">
        <v>481</v>
      </c>
      <c r="C283" s="1"/>
      <c r="D283" s="1">
        <v>4</v>
      </c>
      <c r="E283" s="6">
        <v>359</v>
      </c>
      <c r="F283" s="6">
        <v>1436</v>
      </c>
      <c r="G283" s="2" t="s">
        <v>33</v>
      </c>
    </row>
    <row r="284" spans="1:7" x14ac:dyDescent="0.3">
      <c r="A284" s="11" t="s">
        <v>397</v>
      </c>
      <c r="B284" s="1" t="s">
        <v>482</v>
      </c>
      <c r="C284" s="1" t="s">
        <v>68</v>
      </c>
      <c r="D284" s="1">
        <v>3</v>
      </c>
      <c r="E284" s="6">
        <v>544</v>
      </c>
      <c r="F284" s="6">
        <v>1632</v>
      </c>
      <c r="G284" s="2"/>
    </row>
    <row r="285" spans="1:7" x14ac:dyDescent="0.3">
      <c r="A285" s="11" t="s">
        <v>483</v>
      </c>
      <c r="B285" s="1" t="s">
        <v>484</v>
      </c>
      <c r="C285" s="1" t="s">
        <v>65</v>
      </c>
      <c r="D285" s="1">
        <v>1</v>
      </c>
      <c r="E285" s="6">
        <v>300</v>
      </c>
      <c r="F285" s="6">
        <v>300</v>
      </c>
      <c r="G285" s="2" t="s">
        <v>7</v>
      </c>
    </row>
    <row r="286" spans="1:7" x14ac:dyDescent="0.3">
      <c r="A286" s="11" t="s">
        <v>162</v>
      </c>
      <c r="B286" s="1" t="s">
        <v>485</v>
      </c>
      <c r="C286" s="1" t="s">
        <v>30</v>
      </c>
      <c r="D286" s="1">
        <v>6</v>
      </c>
      <c r="E286" s="6">
        <v>874</v>
      </c>
      <c r="F286" s="6">
        <v>5244</v>
      </c>
      <c r="G286" s="2" t="s">
        <v>33</v>
      </c>
    </row>
    <row r="287" spans="1:7" x14ac:dyDescent="0.3">
      <c r="A287" s="11" t="s">
        <v>467</v>
      </c>
      <c r="B287" s="1" t="s">
        <v>486</v>
      </c>
      <c r="C287" s="1" t="s">
        <v>30</v>
      </c>
      <c r="D287" s="1">
        <v>3</v>
      </c>
      <c r="E287" s="6">
        <v>876</v>
      </c>
      <c r="F287" s="6">
        <v>2628</v>
      </c>
      <c r="G287" s="2" t="s">
        <v>11</v>
      </c>
    </row>
    <row r="288" spans="1:7" x14ac:dyDescent="0.3">
      <c r="A288" s="11" t="s">
        <v>102</v>
      </c>
      <c r="B288" s="1" t="s">
        <v>487</v>
      </c>
      <c r="C288" s="1" t="s">
        <v>24</v>
      </c>
      <c r="D288" s="1">
        <v>2</v>
      </c>
      <c r="E288" s="6">
        <v>751</v>
      </c>
      <c r="F288" s="6">
        <v>1502</v>
      </c>
      <c r="G288" s="2" t="s">
        <v>19</v>
      </c>
    </row>
    <row r="289" spans="1:7" x14ac:dyDescent="0.3">
      <c r="A289" s="11" t="s">
        <v>354</v>
      </c>
      <c r="B289" s="1" t="s">
        <v>488</v>
      </c>
      <c r="C289" s="1" t="s">
        <v>10</v>
      </c>
      <c r="D289" s="1" t="e">
        <v>#DIV/0!</v>
      </c>
      <c r="E289" s="6" t="e">
        <v>#DIV/0!</v>
      </c>
      <c r="F289" s="6">
        <v>1860</v>
      </c>
      <c r="G289" s="2"/>
    </row>
    <row r="290" spans="1:7" x14ac:dyDescent="0.3">
      <c r="A290" s="11" t="s">
        <v>351</v>
      </c>
      <c r="B290" s="1" t="s">
        <v>489</v>
      </c>
      <c r="C290" s="1" t="s">
        <v>30</v>
      </c>
      <c r="D290" s="1">
        <v>4</v>
      </c>
      <c r="E290" s="6">
        <v>354</v>
      </c>
      <c r="F290" s="6">
        <v>1416</v>
      </c>
      <c r="G290" s="2" t="s">
        <v>15</v>
      </c>
    </row>
    <row r="291" spans="1:7" x14ac:dyDescent="0.3">
      <c r="A291" s="11"/>
      <c r="B291" s="1" t="s">
        <v>490</v>
      </c>
      <c r="C291" s="1" t="s">
        <v>6</v>
      </c>
      <c r="D291" s="1">
        <v>2</v>
      </c>
      <c r="E291" s="6">
        <v>514</v>
      </c>
      <c r="F291" s="6">
        <v>1028</v>
      </c>
      <c r="G291" s="2" t="s">
        <v>11</v>
      </c>
    </row>
    <row r="292" spans="1:7" x14ac:dyDescent="0.3">
      <c r="A292" s="11" t="s">
        <v>230</v>
      </c>
      <c r="B292" s="1" t="s">
        <v>491</v>
      </c>
      <c r="C292" s="1" t="s">
        <v>24</v>
      </c>
      <c r="D292" s="1">
        <v>3</v>
      </c>
      <c r="E292" s="6">
        <v>124</v>
      </c>
      <c r="F292" s="6">
        <v>372</v>
      </c>
      <c r="G292" s="2" t="s">
        <v>19</v>
      </c>
    </row>
    <row r="293" spans="1:7" x14ac:dyDescent="0.3">
      <c r="A293" s="11" t="s">
        <v>164</v>
      </c>
      <c r="B293" s="1" t="s">
        <v>492</v>
      </c>
      <c r="C293" s="1" t="s">
        <v>6</v>
      </c>
      <c r="D293" s="1">
        <v>1</v>
      </c>
      <c r="E293" s="6">
        <v>755</v>
      </c>
      <c r="F293" s="6">
        <v>755</v>
      </c>
      <c r="G293" s="2" t="s">
        <v>15</v>
      </c>
    </row>
    <row r="294" spans="1:7" x14ac:dyDescent="0.3">
      <c r="A294" s="11" t="s">
        <v>493</v>
      </c>
      <c r="B294" s="1" t="s">
        <v>494</v>
      </c>
      <c r="C294" s="1" t="s">
        <v>68</v>
      </c>
      <c r="D294" s="1">
        <v>6</v>
      </c>
      <c r="E294" s="6">
        <v>111</v>
      </c>
      <c r="F294" s="6">
        <v>666</v>
      </c>
      <c r="G294" s="2"/>
    </row>
    <row r="295" spans="1:7" x14ac:dyDescent="0.3">
      <c r="A295" s="11" t="s">
        <v>495</v>
      </c>
      <c r="B295" s="1" t="s">
        <v>496</v>
      </c>
      <c r="C295" s="1"/>
      <c r="D295" s="1">
        <v>3</v>
      </c>
      <c r="E295" s="6">
        <v>211</v>
      </c>
      <c r="F295" s="6">
        <v>633</v>
      </c>
      <c r="G295" s="2" t="s">
        <v>27</v>
      </c>
    </row>
    <row r="296" spans="1:7" x14ac:dyDescent="0.3">
      <c r="A296" s="11" t="s">
        <v>495</v>
      </c>
      <c r="B296" s="1" t="s">
        <v>497</v>
      </c>
      <c r="C296" s="1" t="s">
        <v>18</v>
      </c>
      <c r="D296" s="1">
        <v>5</v>
      </c>
      <c r="E296" s="6">
        <v>500</v>
      </c>
      <c r="F296" s="6">
        <v>2500</v>
      </c>
      <c r="G296" s="2" t="s">
        <v>11</v>
      </c>
    </row>
    <row r="297" spans="1:7" x14ac:dyDescent="0.3">
      <c r="A297" s="11" t="s">
        <v>262</v>
      </c>
      <c r="B297" s="1" t="s">
        <v>498</v>
      </c>
      <c r="C297" s="1" t="s">
        <v>38</v>
      </c>
      <c r="D297" s="1">
        <v>6</v>
      </c>
      <c r="E297" s="6">
        <v>475</v>
      </c>
      <c r="F297" s="6">
        <v>2850</v>
      </c>
      <c r="G297" s="2" t="s">
        <v>27</v>
      </c>
    </row>
    <row r="298" spans="1:7" x14ac:dyDescent="0.3">
      <c r="A298" s="11" t="s">
        <v>499</v>
      </c>
      <c r="B298" s="1" t="s">
        <v>500</v>
      </c>
      <c r="C298" s="1" t="s">
        <v>6</v>
      </c>
      <c r="D298" s="1">
        <v>3</v>
      </c>
      <c r="E298" s="6">
        <v>545</v>
      </c>
      <c r="F298" s="6">
        <v>1635</v>
      </c>
      <c r="G298" s="2" t="s">
        <v>11</v>
      </c>
    </row>
    <row r="299" spans="1:7" x14ac:dyDescent="0.3">
      <c r="A299" s="11" t="s">
        <v>338</v>
      </c>
      <c r="B299" s="1" t="s">
        <v>501</v>
      </c>
      <c r="C299" s="1" t="s">
        <v>68</v>
      </c>
      <c r="D299" s="1">
        <v>1</v>
      </c>
      <c r="E299" s="6">
        <v>525</v>
      </c>
      <c r="F299" s="6">
        <v>525</v>
      </c>
      <c r="G299" s="2" t="s">
        <v>7</v>
      </c>
    </row>
    <row r="300" spans="1:7" x14ac:dyDescent="0.3">
      <c r="A300" s="11" t="s">
        <v>217</v>
      </c>
      <c r="B300" s="1" t="s">
        <v>502</v>
      </c>
      <c r="C300" s="1" t="s">
        <v>18</v>
      </c>
      <c r="D300" s="1">
        <v>4</v>
      </c>
      <c r="E300" s="6">
        <v>258</v>
      </c>
      <c r="F300" s="6">
        <v>1032</v>
      </c>
      <c r="G300" s="2" t="s">
        <v>7</v>
      </c>
    </row>
    <row r="301" spans="1:7" x14ac:dyDescent="0.3">
      <c r="A301" s="11" t="s">
        <v>503</v>
      </c>
      <c r="B301" s="1" t="s">
        <v>504</v>
      </c>
      <c r="C301" s="1" t="s">
        <v>68</v>
      </c>
      <c r="D301" s="1">
        <v>3</v>
      </c>
      <c r="E301" s="6">
        <v>398</v>
      </c>
      <c r="F301" s="6">
        <v>1194</v>
      </c>
      <c r="G301" s="2" t="s">
        <v>19</v>
      </c>
    </row>
    <row r="302" spans="1:7" x14ac:dyDescent="0.3">
      <c r="A302" s="11" t="s">
        <v>505</v>
      </c>
      <c r="B302" s="1" t="s">
        <v>506</v>
      </c>
      <c r="C302" s="1" t="s">
        <v>68</v>
      </c>
      <c r="D302" s="1">
        <v>2</v>
      </c>
      <c r="E302" s="6">
        <v>671</v>
      </c>
      <c r="F302" s="6">
        <v>1342</v>
      </c>
      <c r="G302" s="2" t="s">
        <v>15</v>
      </c>
    </row>
    <row r="303" spans="1:7" x14ac:dyDescent="0.3">
      <c r="A303" s="11" t="s">
        <v>507</v>
      </c>
      <c r="B303" s="1" t="s">
        <v>508</v>
      </c>
      <c r="C303" s="1" t="s">
        <v>10</v>
      </c>
      <c r="D303" s="1">
        <v>1</v>
      </c>
      <c r="E303" s="6">
        <v>197</v>
      </c>
      <c r="F303" s="6">
        <v>197</v>
      </c>
      <c r="G303" s="2" t="s">
        <v>27</v>
      </c>
    </row>
    <row r="304" spans="1:7" x14ac:dyDescent="0.3">
      <c r="A304" s="11" t="s">
        <v>509</v>
      </c>
      <c r="B304" s="1" t="s">
        <v>510</v>
      </c>
      <c r="C304" s="1"/>
      <c r="D304" s="1">
        <v>0</v>
      </c>
      <c r="E304" s="6">
        <v>370</v>
      </c>
      <c r="F304" s="6">
        <v>0</v>
      </c>
      <c r="G304" s="2" t="s">
        <v>15</v>
      </c>
    </row>
    <row r="305" spans="1:7" x14ac:dyDescent="0.3">
      <c r="A305" s="11" t="s">
        <v>511</v>
      </c>
      <c r="B305" s="1" t="s">
        <v>512</v>
      </c>
      <c r="C305" s="1" t="s">
        <v>6</v>
      </c>
      <c r="D305" s="1">
        <v>1</v>
      </c>
      <c r="E305" s="6">
        <v>932</v>
      </c>
      <c r="F305" s="6">
        <v>932</v>
      </c>
      <c r="G305" s="2" t="s">
        <v>7</v>
      </c>
    </row>
    <row r="306" spans="1:7" x14ac:dyDescent="0.3">
      <c r="A306" s="11" t="s">
        <v>8</v>
      </c>
      <c r="B306" s="1" t="s">
        <v>513</v>
      </c>
      <c r="C306" s="1" t="s">
        <v>38</v>
      </c>
      <c r="D306" s="1">
        <v>6</v>
      </c>
      <c r="E306" s="6">
        <v>785</v>
      </c>
      <c r="F306" s="6">
        <v>4710</v>
      </c>
      <c r="G306" s="2" t="s">
        <v>27</v>
      </c>
    </row>
    <row r="307" spans="1:7" x14ac:dyDescent="0.3">
      <c r="A307" s="11" t="s">
        <v>493</v>
      </c>
      <c r="B307" s="1" t="s">
        <v>514</v>
      </c>
      <c r="C307" s="1" t="s">
        <v>68</v>
      </c>
      <c r="D307" s="1">
        <v>2</v>
      </c>
      <c r="E307" s="6">
        <v>376</v>
      </c>
      <c r="F307" s="6">
        <v>752</v>
      </c>
      <c r="G307" s="2" t="s">
        <v>33</v>
      </c>
    </row>
    <row r="308" spans="1:7" x14ac:dyDescent="0.3">
      <c r="A308" s="11" t="s">
        <v>436</v>
      </c>
      <c r="B308" s="1" t="s">
        <v>515</v>
      </c>
      <c r="C308" s="1" t="s">
        <v>68</v>
      </c>
      <c r="D308" s="1" t="e">
        <v>#DIV/0!</v>
      </c>
      <c r="E308" s="6" t="e">
        <v>#DIV/0!</v>
      </c>
      <c r="F308" s="6">
        <v>4806</v>
      </c>
      <c r="G308" s="2" t="s">
        <v>19</v>
      </c>
    </row>
    <row r="309" spans="1:7" x14ac:dyDescent="0.3">
      <c r="A309" s="11"/>
      <c r="B309" s="1" t="s">
        <v>516</v>
      </c>
      <c r="C309" s="1" t="s">
        <v>30</v>
      </c>
      <c r="D309" s="1" t="e">
        <v>#DIV/0!</v>
      </c>
      <c r="E309" s="6" t="e">
        <v>#DIV/0!</v>
      </c>
      <c r="F309" s="6" t="e">
        <v>#DIV/0!</v>
      </c>
      <c r="G309" s="2" t="s">
        <v>15</v>
      </c>
    </row>
    <row r="310" spans="1:7" x14ac:dyDescent="0.3">
      <c r="A310" s="11" t="s">
        <v>289</v>
      </c>
      <c r="B310" s="1" t="s">
        <v>517</v>
      </c>
      <c r="C310" s="1" t="s">
        <v>79</v>
      </c>
      <c r="D310" s="1">
        <v>5</v>
      </c>
      <c r="E310" s="6">
        <v>403</v>
      </c>
      <c r="F310" s="6">
        <v>2015</v>
      </c>
      <c r="G310" s="2" t="s">
        <v>11</v>
      </c>
    </row>
    <row r="311" spans="1:7" x14ac:dyDescent="0.3">
      <c r="A311" s="11" t="s">
        <v>259</v>
      </c>
      <c r="B311" s="1" t="s">
        <v>518</v>
      </c>
      <c r="C311" s="1" t="s">
        <v>14</v>
      </c>
      <c r="D311" s="1">
        <v>1</v>
      </c>
      <c r="E311" s="6">
        <v>458</v>
      </c>
      <c r="F311" s="6">
        <v>458</v>
      </c>
      <c r="G311" s="2" t="s">
        <v>11</v>
      </c>
    </row>
    <row r="312" spans="1:7" x14ac:dyDescent="0.3">
      <c r="A312" s="11"/>
      <c r="B312" s="1" t="s">
        <v>519</v>
      </c>
      <c r="C312" s="1" t="s">
        <v>18</v>
      </c>
      <c r="D312" s="1">
        <v>1</v>
      </c>
      <c r="E312" s="6">
        <v>183</v>
      </c>
      <c r="F312" s="6">
        <v>183</v>
      </c>
      <c r="G312" s="2"/>
    </row>
    <row r="313" spans="1:7" x14ac:dyDescent="0.3">
      <c r="A313" s="11" t="s">
        <v>477</v>
      </c>
      <c r="B313" s="1" t="s">
        <v>520</v>
      </c>
      <c r="C313" s="1" t="s">
        <v>79</v>
      </c>
      <c r="D313" s="1">
        <v>3</v>
      </c>
      <c r="E313" s="6">
        <v>828</v>
      </c>
      <c r="F313" s="6">
        <v>2484</v>
      </c>
      <c r="G313" s="2" t="s">
        <v>11</v>
      </c>
    </row>
    <row r="314" spans="1:7" x14ac:dyDescent="0.3">
      <c r="A314" s="11" t="s">
        <v>166</v>
      </c>
      <c r="B314" s="1" t="s">
        <v>521</v>
      </c>
      <c r="C314" s="1" t="s">
        <v>18</v>
      </c>
      <c r="D314" s="1">
        <v>2</v>
      </c>
      <c r="E314" s="6">
        <v>429</v>
      </c>
      <c r="F314" s="6">
        <v>858</v>
      </c>
      <c r="G314" s="2" t="s">
        <v>11</v>
      </c>
    </row>
    <row r="315" spans="1:7" x14ac:dyDescent="0.3">
      <c r="A315" s="11" t="s">
        <v>43</v>
      </c>
      <c r="B315" s="1" t="s">
        <v>522</v>
      </c>
      <c r="C315" s="1" t="s">
        <v>14</v>
      </c>
      <c r="D315" s="1">
        <v>2</v>
      </c>
      <c r="E315" s="6">
        <v>577</v>
      </c>
      <c r="F315" s="6">
        <v>1154</v>
      </c>
      <c r="G315" s="2" t="s">
        <v>7</v>
      </c>
    </row>
    <row r="316" spans="1:7" x14ac:dyDescent="0.3">
      <c r="A316" s="11" t="s">
        <v>523</v>
      </c>
      <c r="B316" s="1" t="s">
        <v>524</v>
      </c>
      <c r="C316" s="1" t="s">
        <v>38</v>
      </c>
      <c r="D316" s="1">
        <v>5</v>
      </c>
      <c r="E316" s="6">
        <v>625</v>
      </c>
      <c r="F316" s="6">
        <v>3125</v>
      </c>
      <c r="G316" s="2" t="s">
        <v>19</v>
      </c>
    </row>
    <row r="317" spans="1:7" x14ac:dyDescent="0.3">
      <c r="A317" s="11"/>
      <c r="B317" s="1" t="s">
        <v>525</v>
      </c>
      <c r="C317" s="1" t="s">
        <v>24</v>
      </c>
      <c r="D317" s="1">
        <v>2</v>
      </c>
      <c r="E317" s="6">
        <v>158</v>
      </c>
      <c r="F317" s="6">
        <v>316</v>
      </c>
      <c r="G317" s="2" t="s">
        <v>11</v>
      </c>
    </row>
    <row r="318" spans="1:7" x14ac:dyDescent="0.3">
      <c r="A318" s="11" t="s">
        <v>104</v>
      </c>
      <c r="B318" s="1" t="s">
        <v>526</v>
      </c>
      <c r="C318" s="1" t="s">
        <v>14</v>
      </c>
      <c r="D318" s="1">
        <v>1</v>
      </c>
      <c r="E318" s="6">
        <v>376</v>
      </c>
      <c r="F318" s="6">
        <v>376</v>
      </c>
      <c r="G318" s="2" t="s">
        <v>11</v>
      </c>
    </row>
    <row r="319" spans="1:7" x14ac:dyDescent="0.3">
      <c r="A319" s="11" t="s">
        <v>266</v>
      </c>
      <c r="B319" s="1" t="s">
        <v>527</v>
      </c>
      <c r="C319" s="1" t="s">
        <v>65</v>
      </c>
      <c r="D319" s="1">
        <v>5</v>
      </c>
      <c r="E319" s="6">
        <v>297</v>
      </c>
      <c r="F319" s="6">
        <v>1485</v>
      </c>
      <c r="G319" s="2" t="s">
        <v>15</v>
      </c>
    </row>
    <row r="320" spans="1:7" x14ac:dyDescent="0.3">
      <c r="A320" s="11" t="s">
        <v>528</v>
      </c>
      <c r="B320" s="1" t="s">
        <v>529</v>
      </c>
      <c r="C320" s="1" t="s">
        <v>79</v>
      </c>
      <c r="D320" s="1">
        <v>2</v>
      </c>
      <c r="E320" s="6">
        <v>527</v>
      </c>
      <c r="F320" s="6">
        <v>1054</v>
      </c>
      <c r="G320" s="2"/>
    </row>
    <row r="321" spans="1:7" x14ac:dyDescent="0.3">
      <c r="A321" s="11" t="s">
        <v>463</v>
      </c>
      <c r="B321" s="1" t="s">
        <v>530</v>
      </c>
      <c r="C321" s="1" t="s">
        <v>6</v>
      </c>
      <c r="D321" s="1">
        <v>5</v>
      </c>
      <c r="E321" s="6">
        <v>175</v>
      </c>
      <c r="F321" s="6">
        <v>875</v>
      </c>
      <c r="G321" s="2" t="s">
        <v>7</v>
      </c>
    </row>
    <row r="322" spans="1:7" x14ac:dyDescent="0.3">
      <c r="A322" s="11" t="s">
        <v>434</v>
      </c>
      <c r="B322" s="1" t="s">
        <v>531</v>
      </c>
      <c r="C322" s="1"/>
      <c r="D322" s="1">
        <v>2</v>
      </c>
      <c r="E322" s="6">
        <v>323</v>
      </c>
      <c r="F322" s="6">
        <v>646</v>
      </c>
      <c r="G322" s="2" t="s">
        <v>33</v>
      </c>
    </row>
    <row r="323" spans="1:7" x14ac:dyDescent="0.3">
      <c r="A323" s="11" t="s">
        <v>177</v>
      </c>
      <c r="B323" s="1" t="s">
        <v>532</v>
      </c>
      <c r="C323" s="1" t="s">
        <v>65</v>
      </c>
      <c r="D323" s="1">
        <v>2</v>
      </c>
      <c r="E323" s="6">
        <v>510</v>
      </c>
      <c r="F323" s="6">
        <v>1020</v>
      </c>
      <c r="G323" s="2" t="s">
        <v>33</v>
      </c>
    </row>
    <row r="324" spans="1:7" x14ac:dyDescent="0.3">
      <c r="A324" s="11" t="s">
        <v>533</v>
      </c>
      <c r="B324" s="1" t="s">
        <v>534</v>
      </c>
      <c r="C324" s="1" t="s">
        <v>68</v>
      </c>
      <c r="D324" s="1">
        <v>0</v>
      </c>
      <c r="E324" s="6">
        <v>303</v>
      </c>
      <c r="F324" s="6">
        <v>0</v>
      </c>
      <c r="G324" s="2" t="s">
        <v>27</v>
      </c>
    </row>
    <row r="325" spans="1:7" x14ac:dyDescent="0.3">
      <c r="A325" s="11" t="s">
        <v>535</v>
      </c>
      <c r="B325" s="1" t="s">
        <v>536</v>
      </c>
      <c r="C325" s="1" t="s">
        <v>68</v>
      </c>
      <c r="D325" s="1">
        <v>2</v>
      </c>
      <c r="E325" s="6">
        <v>194</v>
      </c>
      <c r="F325" s="6">
        <v>388</v>
      </c>
      <c r="G325" s="2" t="s">
        <v>15</v>
      </c>
    </row>
    <row r="326" spans="1:7" x14ac:dyDescent="0.3">
      <c r="A326" s="11" t="s">
        <v>279</v>
      </c>
      <c r="B326" s="1" t="s">
        <v>537</v>
      </c>
      <c r="C326" s="1" t="s">
        <v>6</v>
      </c>
      <c r="D326" s="1">
        <v>5</v>
      </c>
      <c r="E326" s="6">
        <v>149</v>
      </c>
      <c r="F326" s="6">
        <v>745</v>
      </c>
      <c r="G326" s="2" t="s">
        <v>15</v>
      </c>
    </row>
    <row r="327" spans="1:7" x14ac:dyDescent="0.3">
      <c r="A327" s="11" t="s">
        <v>538</v>
      </c>
      <c r="B327" s="1" t="s">
        <v>539</v>
      </c>
      <c r="C327" s="1" t="s">
        <v>6</v>
      </c>
      <c r="D327" s="1">
        <v>1</v>
      </c>
      <c r="E327" s="6">
        <v>101</v>
      </c>
      <c r="F327" s="6">
        <v>101</v>
      </c>
      <c r="G327" s="2" t="s">
        <v>33</v>
      </c>
    </row>
    <row r="328" spans="1:7" x14ac:dyDescent="0.3">
      <c r="A328" s="11"/>
      <c r="B328" s="1" t="s">
        <v>540</v>
      </c>
      <c r="C328" s="1" t="s">
        <v>30</v>
      </c>
      <c r="D328" s="1">
        <v>3</v>
      </c>
      <c r="E328" s="6">
        <v>0</v>
      </c>
      <c r="F328" s="6">
        <v>0</v>
      </c>
      <c r="G328" s="2" t="s">
        <v>15</v>
      </c>
    </row>
    <row r="329" spans="1:7" x14ac:dyDescent="0.3">
      <c r="A329" s="11" t="s">
        <v>333</v>
      </c>
      <c r="B329" s="1" t="s">
        <v>541</v>
      </c>
      <c r="C329" s="1"/>
      <c r="D329" s="1">
        <v>2</v>
      </c>
      <c r="E329" s="6">
        <v>443</v>
      </c>
      <c r="F329" s="6">
        <v>886</v>
      </c>
      <c r="G329" s="2" t="s">
        <v>11</v>
      </c>
    </row>
    <row r="330" spans="1:7" x14ac:dyDescent="0.3">
      <c r="A330" s="11" t="s">
        <v>523</v>
      </c>
      <c r="B330" s="1" t="s">
        <v>542</v>
      </c>
      <c r="C330" s="1" t="s">
        <v>30</v>
      </c>
      <c r="D330" s="1">
        <v>2</v>
      </c>
      <c r="E330" s="6">
        <v>934</v>
      </c>
      <c r="F330" s="6">
        <v>1868</v>
      </c>
      <c r="G330" s="2" t="s">
        <v>33</v>
      </c>
    </row>
    <row r="331" spans="1:7" x14ac:dyDescent="0.3">
      <c r="A331" s="11"/>
      <c r="B331" s="1" t="s">
        <v>543</v>
      </c>
      <c r="C331" s="1" t="s">
        <v>14</v>
      </c>
      <c r="D331" s="1">
        <v>5</v>
      </c>
      <c r="E331" s="6">
        <v>680</v>
      </c>
      <c r="F331" s="6">
        <v>3400</v>
      </c>
      <c r="G331" s="2" t="s">
        <v>27</v>
      </c>
    </row>
    <row r="332" spans="1:7" x14ac:dyDescent="0.3">
      <c r="A332" s="11" t="s">
        <v>293</v>
      </c>
      <c r="B332" s="1" t="s">
        <v>544</v>
      </c>
      <c r="C332" s="1" t="s">
        <v>24</v>
      </c>
      <c r="D332" s="1">
        <v>3</v>
      </c>
      <c r="E332" s="6">
        <v>478</v>
      </c>
      <c r="F332" s="6">
        <v>1434</v>
      </c>
      <c r="G332" s="2" t="s">
        <v>27</v>
      </c>
    </row>
    <row r="333" spans="1:7" x14ac:dyDescent="0.3">
      <c r="A333" s="11" t="s">
        <v>545</v>
      </c>
      <c r="B333" s="1" t="s">
        <v>546</v>
      </c>
      <c r="C333" s="1" t="s">
        <v>79</v>
      </c>
      <c r="D333" s="1">
        <v>2</v>
      </c>
      <c r="E333" s="6">
        <v>304</v>
      </c>
      <c r="F333" s="6">
        <v>608</v>
      </c>
      <c r="G333" s="2" t="s">
        <v>27</v>
      </c>
    </row>
    <row r="334" spans="1:7" x14ac:dyDescent="0.3">
      <c r="A334" s="11" t="s">
        <v>547</v>
      </c>
      <c r="B334" s="1" t="s">
        <v>548</v>
      </c>
      <c r="C334" s="1" t="s">
        <v>6</v>
      </c>
      <c r="D334" s="1">
        <v>1</v>
      </c>
      <c r="E334" s="6">
        <v>936</v>
      </c>
      <c r="F334" s="6">
        <v>936</v>
      </c>
      <c r="G334" s="2" t="s">
        <v>19</v>
      </c>
    </row>
    <row r="335" spans="1:7" x14ac:dyDescent="0.3">
      <c r="A335" s="11" t="s">
        <v>503</v>
      </c>
      <c r="B335" s="1" t="s">
        <v>549</v>
      </c>
      <c r="C335" s="1" t="s">
        <v>18</v>
      </c>
      <c r="D335" s="1">
        <v>6</v>
      </c>
      <c r="E335" s="6">
        <v>0</v>
      </c>
      <c r="F335" s="6">
        <v>0</v>
      </c>
      <c r="G335" s="2"/>
    </row>
    <row r="336" spans="1:7" x14ac:dyDescent="0.3">
      <c r="A336" s="11" t="s">
        <v>436</v>
      </c>
      <c r="B336" s="1" t="s">
        <v>550</v>
      </c>
      <c r="C336" s="1" t="s">
        <v>79</v>
      </c>
      <c r="D336" s="1">
        <v>1</v>
      </c>
      <c r="E336" s="6">
        <v>213</v>
      </c>
      <c r="F336" s="6">
        <v>213</v>
      </c>
      <c r="G336" s="2" t="s">
        <v>11</v>
      </c>
    </row>
    <row r="337" spans="1:7" x14ac:dyDescent="0.3">
      <c r="A337" s="11" t="s">
        <v>73</v>
      </c>
      <c r="B337" s="1" t="s">
        <v>551</v>
      </c>
      <c r="C337" s="1" t="s">
        <v>14</v>
      </c>
      <c r="D337" s="1">
        <v>2</v>
      </c>
      <c r="E337" s="6">
        <v>883</v>
      </c>
      <c r="F337" s="6">
        <v>1766</v>
      </c>
      <c r="G337" s="2" t="s">
        <v>7</v>
      </c>
    </row>
    <row r="338" spans="1:7" x14ac:dyDescent="0.3">
      <c r="A338" s="11" t="s">
        <v>552</v>
      </c>
      <c r="B338" s="1" t="s">
        <v>553</v>
      </c>
      <c r="C338" s="1" t="s">
        <v>24</v>
      </c>
      <c r="D338" s="1">
        <v>1</v>
      </c>
      <c r="E338" s="6">
        <v>385</v>
      </c>
      <c r="F338" s="6">
        <v>385</v>
      </c>
      <c r="G338" s="2" t="s">
        <v>11</v>
      </c>
    </row>
    <row r="339" spans="1:7" x14ac:dyDescent="0.3">
      <c r="A339" s="11" t="s">
        <v>554</v>
      </c>
      <c r="B339" s="1" t="s">
        <v>555</v>
      </c>
      <c r="C339" s="1"/>
      <c r="D339" s="1">
        <v>3</v>
      </c>
      <c r="E339" s="6">
        <v>641</v>
      </c>
      <c r="F339" s="6">
        <v>1923</v>
      </c>
      <c r="G339" s="2" t="s">
        <v>27</v>
      </c>
    </row>
    <row r="340" spans="1:7" x14ac:dyDescent="0.3">
      <c r="A340" s="11"/>
      <c r="B340" s="1" t="s">
        <v>556</v>
      </c>
      <c r="C340" s="1" t="s">
        <v>30</v>
      </c>
      <c r="D340" s="1">
        <v>2</v>
      </c>
      <c r="E340" s="6">
        <v>788</v>
      </c>
      <c r="F340" s="6">
        <v>1576</v>
      </c>
      <c r="G340" s="2" t="s">
        <v>19</v>
      </c>
    </row>
    <row r="341" spans="1:7" x14ac:dyDescent="0.3">
      <c r="A341" s="11" t="s">
        <v>61</v>
      </c>
      <c r="B341" s="1" t="s">
        <v>557</v>
      </c>
      <c r="C341" s="1" t="s">
        <v>14</v>
      </c>
      <c r="D341" s="1">
        <v>0</v>
      </c>
      <c r="E341" s="6">
        <v>370</v>
      </c>
      <c r="F341" s="6">
        <v>0</v>
      </c>
      <c r="G341" s="2"/>
    </row>
    <row r="342" spans="1:7" x14ac:dyDescent="0.3">
      <c r="A342" s="11"/>
      <c r="B342" s="1" t="s">
        <v>558</v>
      </c>
      <c r="C342" s="1" t="s">
        <v>68</v>
      </c>
      <c r="D342" s="1">
        <v>3</v>
      </c>
      <c r="E342" s="6">
        <v>244</v>
      </c>
      <c r="F342" s="6">
        <v>732</v>
      </c>
      <c r="G342" s="2" t="s">
        <v>27</v>
      </c>
    </row>
    <row r="343" spans="1:7" x14ac:dyDescent="0.3">
      <c r="A343" s="11" t="s">
        <v>559</v>
      </c>
      <c r="B343" s="1" t="s">
        <v>560</v>
      </c>
      <c r="C343" s="1" t="s">
        <v>30</v>
      </c>
      <c r="D343" s="1">
        <v>1</v>
      </c>
      <c r="E343" s="6">
        <v>831</v>
      </c>
      <c r="F343" s="6">
        <v>831</v>
      </c>
      <c r="G343" s="2" t="s">
        <v>7</v>
      </c>
    </row>
    <row r="344" spans="1:7" x14ac:dyDescent="0.3">
      <c r="A344" s="11" t="s">
        <v>561</v>
      </c>
      <c r="B344" s="1" t="s">
        <v>562</v>
      </c>
      <c r="C344" s="1" t="s">
        <v>10</v>
      </c>
      <c r="D344" s="1">
        <v>2</v>
      </c>
      <c r="E344" s="6">
        <v>213</v>
      </c>
      <c r="F344" s="6">
        <v>426</v>
      </c>
      <c r="G344" s="2" t="s">
        <v>15</v>
      </c>
    </row>
    <row r="345" spans="1:7" x14ac:dyDescent="0.3">
      <c r="A345" s="11" t="s">
        <v>563</v>
      </c>
      <c r="B345" s="1" t="s">
        <v>564</v>
      </c>
      <c r="C345" s="1" t="s">
        <v>30</v>
      </c>
      <c r="D345" s="1">
        <v>3</v>
      </c>
      <c r="E345" s="6">
        <v>560</v>
      </c>
      <c r="F345" s="6">
        <v>1680</v>
      </c>
      <c r="G345" s="2" t="s">
        <v>27</v>
      </c>
    </row>
    <row r="346" spans="1:7" x14ac:dyDescent="0.3">
      <c r="A346" s="11" t="s">
        <v>565</v>
      </c>
      <c r="B346" s="1" t="s">
        <v>566</v>
      </c>
      <c r="C346" s="1" t="s">
        <v>14</v>
      </c>
      <c r="D346" s="1">
        <v>1</v>
      </c>
      <c r="E346" s="6">
        <v>577</v>
      </c>
      <c r="F346" s="6">
        <v>577</v>
      </c>
      <c r="G346" s="2" t="s">
        <v>33</v>
      </c>
    </row>
    <row r="347" spans="1:7" x14ac:dyDescent="0.3">
      <c r="A347" s="11" t="s">
        <v>34</v>
      </c>
      <c r="B347" s="1" t="s">
        <v>567</v>
      </c>
      <c r="C347" s="1"/>
      <c r="D347" s="1">
        <v>2</v>
      </c>
      <c r="E347" s="6">
        <v>528</v>
      </c>
      <c r="F347" s="6">
        <v>1056</v>
      </c>
      <c r="G347" s="2"/>
    </row>
    <row r="348" spans="1:7" x14ac:dyDescent="0.3">
      <c r="A348" s="11" t="s">
        <v>568</v>
      </c>
      <c r="B348" s="1" t="s">
        <v>569</v>
      </c>
      <c r="C348" s="1" t="s">
        <v>24</v>
      </c>
      <c r="D348" s="1">
        <v>6</v>
      </c>
      <c r="E348" s="6">
        <v>560</v>
      </c>
      <c r="F348" s="6">
        <v>3360</v>
      </c>
      <c r="G348" s="2" t="s">
        <v>33</v>
      </c>
    </row>
    <row r="349" spans="1:7" x14ac:dyDescent="0.3">
      <c r="A349" s="11" t="s">
        <v>570</v>
      </c>
      <c r="B349" s="1" t="s">
        <v>571</v>
      </c>
      <c r="C349" s="1" t="s">
        <v>14</v>
      </c>
      <c r="D349" s="1">
        <v>4</v>
      </c>
      <c r="E349" s="6">
        <v>950</v>
      </c>
      <c r="F349" s="6">
        <v>3800</v>
      </c>
      <c r="G349" s="2" t="s">
        <v>33</v>
      </c>
    </row>
    <row r="350" spans="1:7" x14ac:dyDescent="0.3">
      <c r="A350" s="11" t="s">
        <v>289</v>
      </c>
      <c r="B350" s="1" t="s">
        <v>572</v>
      </c>
      <c r="C350" s="1" t="s">
        <v>6</v>
      </c>
      <c r="D350" s="1">
        <v>5</v>
      </c>
      <c r="E350" s="6">
        <v>365</v>
      </c>
      <c r="F350" s="6">
        <v>1825</v>
      </c>
      <c r="G350" s="2" t="s">
        <v>11</v>
      </c>
    </row>
    <row r="351" spans="1:7" x14ac:dyDescent="0.3">
      <c r="A351" s="11" t="s">
        <v>235</v>
      </c>
      <c r="B351" s="1" t="s">
        <v>573</v>
      </c>
      <c r="C351" s="1" t="s">
        <v>6</v>
      </c>
      <c r="D351" s="1">
        <v>1</v>
      </c>
      <c r="E351" s="6">
        <v>559</v>
      </c>
      <c r="F351" s="6">
        <v>559</v>
      </c>
      <c r="G351" s="2" t="s">
        <v>7</v>
      </c>
    </row>
    <row r="352" spans="1:7" x14ac:dyDescent="0.3">
      <c r="A352" s="11" t="s">
        <v>574</v>
      </c>
      <c r="B352" s="1" t="s">
        <v>575</v>
      </c>
      <c r="C352" s="1" t="s">
        <v>30</v>
      </c>
      <c r="D352" s="1">
        <v>6</v>
      </c>
      <c r="E352" s="6">
        <v>73</v>
      </c>
      <c r="F352" s="6">
        <v>438</v>
      </c>
      <c r="G352" s="2" t="s">
        <v>33</v>
      </c>
    </row>
    <row r="353" spans="1:7" x14ac:dyDescent="0.3">
      <c r="A353" s="11" t="s">
        <v>576</v>
      </c>
      <c r="B353" s="1" t="s">
        <v>577</v>
      </c>
      <c r="C353" s="1" t="s">
        <v>24</v>
      </c>
      <c r="D353" s="1">
        <v>1</v>
      </c>
      <c r="E353" s="6">
        <v>142</v>
      </c>
      <c r="F353" s="6">
        <v>142</v>
      </c>
      <c r="G353" s="2" t="s">
        <v>15</v>
      </c>
    </row>
    <row r="354" spans="1:7" x14ac:dyDescent="0.3">
      <c r="A354" s="11" t="s">
        <v>578</v>
      </c>
      <c r="B354" s="1" t="s">
        <v>579</v>
      </c>
      <c r="C354" s="1" t="s">
        <v>14</v>
      </c>
      <c r="D354" s="1">
        <v>4</v>
      </c>
      <c r="E354" s="6">
        <v>452</v>
      </c>
      <c r="F354" s="6">
        <v>1808</v>
      </c>
      <c r="G354" s="2"/>
    </row>
    <row r="355" spans="1:7" x14ac:dyDescent="0.3">
      <c r="A355" s="11" t="s">
        <v>4</v>
      </c>
      <c r="B355" s="1" t="s">
        <v>580</v>
      </c>
      <c r="C355" s="1" t="s">
        <v>14</v>
      </c>
      <c r="D355" s="1">
        <v>4</v>
      </c>
      <c r="E355" s="6">
        <v>567</v>
      </c>
      <c r="F355" s="6">
        <v>2268</v>
      </c>
      <c r="G355" s="2" t="s">
        <v>19</v>
      </c>
    </row>
    <row r="356" spans="1:7" x14ac:dyDescent="0.3">
      <c r="A356" s="11" t="s">
        <v>91</v>
      </c>
      <c r="B356" s="1" t="s">
        <v>581</v>
      </c>
      <c r="C356" s="1" t="s">
        <v>68</v>
      </c>
      <c r="D356" s="1">
        <v>3</v>
      </c>
      <c r="E356" s="6">
        <v>518</v>
      </c>
      <c r="F356" s="6">
        <v>1554</v>
      </c>
      <c r="G356" s="2" t="s">
        <v>11</v>
      </c>
    </row>
    <row r="357" spans="1:7" x14ac:dyDescent="0.3">
      <c r="A357" s="11" t="s">
        <v>127</v>
      </c>
      <c r="B357" s="1" t="s">
        <v>582</v>
      </c>
      <c r="C357" s="1" t="s">
        <v>18</v>
      </c>
      <c r="D357" s="1">
        <v>5</v>
      </c>
      <c r="E357" s="6">
        <v>296</v>
      </c>
      <c r="F357" s="6">
        <v>1480</v>
      </c>
      <c r="G357" s="2" t="s">
        <v>19</v>
      </c>
    </row>
    <row r="358" spans="1:7" x14ac:dyDescent="0.3">
      <c r="A358" s="11" t="s">
        <v>226</v>
      </c>
      <c r="B358" s="1" t="s">
        <v>583</v>
      </c>
      <c r="C358" s="1" t="s">
        <v>79</v>
      </c>
      <c r="D358" s="1">
        <v>5</v>
      </c>
      <c r="E358" s="6">
        <v>270</v>
      </c>
      <c r="F358" s="6">
        <v>1350</v>
      </c>
      <c r="G358" s="2" t="s">
        <v>11</v>
      </c>
    </row>
    <row r="359" spans="1:7" x14ac:dyDescent="0.3">
      <c r="A359" s="11" t="s">
        <v>584</v>
      </c>
      <c r="B359" s="1" t="s">
        <v>585</v>
      </c>
      <c r="C359" s="1" t="s">
        <v>18</v>
      </c>
      <c r="D359" s="1">
        <v>1</v>
      </c>
      <c r="E359" s="6">
        <v>647</v>
      </c>
      <c r="F359" s="6">
        <v>647</v>
      </c>
      <c r="G359" s="2" t="s">
        <v>15</v>
      </c>
    </row>
    <row r="360" spans="1:7" x14ac:dyDescent="0.3">
      <c r="A360" s="11" t="s">
        <v>28</v>
      </c>
      <c r="B360" s="1" t="s">
        <v>586</v>
      </c>
      <c r="C360" s="1" t="s">
        <v>14</v>
      </c>
      <c r="D360" s="1">
        <v>4</v>
      </c>
      <c r="E360" s="6">
        <v>411</v>
      </c>
      <c r="F360" s="6">
        <v>1644</v>
      </c>
      <c r="G360" s="2" t="s">
        <v>11</v>
      </c>
    </row>
    <row r="361" spans="1:7" x14ac:dyDescent="0.3">
      <c r="A361" s="11" t="s">
        <v>587</v>
      </c>
      <c r="B361" s="1" t="s">
        <v>588</v>
      </c>
      <c r="C361" s="1" t="s">
        <v>30</v>
      </c>
      <c r="D361" s="1">
        <v>5</v>
      </c>
      <c r="E361" s="6">
        <v>99</v>
      </c>
      <c r="F361" s="6">
        <v>495</v>
      </c>
      <c r="G361" s="2" t="s">
        <v>15</v>
      </c>
    </row>
    <row r="362" spans="1:7" x14ac:dyDescent="0.3">
      <c r="A362" s="11" t="s">
        <v>104</v>
      </c>
      <c r="B362" s="1" t="s">
        <v>589</v>
      </c>
      <c r="C362" s="1"/>
      <c r="D362" s="1">
        <v>2</v>
      </c>
      <c r="E362" s="6">
        <v>101</v>
      </c>
      <c r="F362" s="6">
        <v>202</v>
      </c>
      <c r="G362" s="2" t="s">
        <v>27</v>
      </c>
    </row>
    <row r="363" spans="1:7" x14ac:dyDescent="0.3">
      <c r="A363" s="11" t="s">
        <v>66</v>
      </c>
      <c r="B363" s="1" t="s">
        <v>590</v>
      </c>
      <c r="C363" s="1" t="s">
        <v>14</v>
      </c>
      <c r="D363" s="1">
        <v>5</v>
      </c>
      <c r="E363" s="6">
        <v>338</v>
      </c>
      <c r="F363" s="6">
        <v>1690</v>
      </c>
      <c r="G363" s="2" t="s">
        <v>27</v>
      </c>
    </row>
    <row r="364" spans="1:7" x14ac:dyDescent="0.3">
      <c r="A364" s="11" t="s">
        <v>538</v>
      </c>
      <c r="B364" s="1" t="s">
        <v>591</v>
      </c>
      <c r="C364" s="1" t="s">
        <v>10</v>
      </c>
      <c r="D364" s="1" t="e">
        <v>#DIV/0!</v>
      </c>
      <c r="E364" s="6" t="e">
        <v>#DIV/0!</v>
      </c>
      <c r="F364" s="6">
        <v>556</v>
      </c>
      <c r="G364" s="2" t="s">
        <v>11</v>
      </c>
    </row>
    <row r="365" spans="1:7" x14ac:dyDescent="0.3">
      <c r="A365" s="11" t="s">
        <v>592</v>
      </c>
      <c r="B365" s="1" t="s">
        <v>593</v>
      </c>
      <c r="C365" s="1" t="s">
        <v>6</v>
      </c>
      <c r="D365" s="1">
        <v>6</v>
      </c>
      <c r="E365" s="6">
        <v>661</v>
      </c>
      <c r="F365" s="6">
        <v>3966</v>
      </c>
      <c r="G365" s="2" t="s">
        <v>7</v>
      </c>
    </row>
    <row r="366" spans="1:7" x14ac:dyDescent="0.3">
      <c r="A366" s="11" t="s">
        <v>414</v>
      </c>
      <c r="B366" s="1" t="s">
        <v>594</v>
      </c>
      <c r="C366" s="1" t="s">
        <v>38</v>
      </c>
      <c r="D366" s="1">
        <v>6</v>
      </c>
      <c r="E366" s="6">
        <v>953</v>
      </c>
      <c r="F366" s="6">
        <v>5718</v>
      </c>
      <c r="G366" s="2" t="s">
        <v>33</v>
      </c>
    </row>
    <row r="367" spans="1:7" x14ac:dyDescent="0.3">
      <c r="A367" s="11" t="s">
        <v>426</v>
      </c>
      <c r="B367" s="1" t="s">
        <v>595</v>
      </c>
      <c r="C367" s="1" t="s">
        <v>14</v>
      </c>
      <c r="D367" s="1">
        <v>5</v>
      </c>
      <c r="E367" s="6">
        <v>913</v>
      </c>
      <c r="F367" s="6">
        <v>4565</v>
      </c>
      <c r="G367" s="2" t="s">
        <v>33</v>
      </c>
    </row>
    <row r="368" spans="1:7" x14ac:dyDescent="0.3">
      <c r="A368" s="11" t="s">
        <v>308</v>
      </c>
      <c r="B368" s="1" t="s">
        <v>596</v>
      </c>
      <c r="C368" s="1" t="s">
        <v>10</v>
      </c>
      <c r="D368" s="1">
        <v>3</v>
      </c>
      <c r="E368" s="6">
        <v>719</v>
      </c>
      <c r="F368" s="6">
        <v>2157</v>
      </c>
      <c r="G368" s="2" t="s">
        <v>33</v>
      </c>
    </row>
    <row r="369" spans="1:7" x14ac:dyDescent="0.3">
      <c r="A369" s="11"/>
      <c r="B369" s="1" t="s">
        <v>597</v>
      </c>
      <c r="C369" s="1" t="s">
        <v>10</v>
      </c>
      <c r="D369" s="1">
        <v>4</v>
      </c>
      <c r="E369" s="6">
        <v>738</v>
      </c>
      <c r="F369" s="6">
        <v>2952</v>
      </c>
      <c r="G369" s="2" t="s">
        <v>33</v>
      </c>
    </row>
    <row r="370" spans="1:7" x14ac:dyDescent="0.3">
      <c r="A370" s="11"/>
      <c r="B370" s="1" t="s">
        <v>598</v>
      </c>
      <c r="C370" s="1" t="s">
        <v>79</v>
      </c>
      <c r="D370" s="1">
        <v>6</v>
      </c>
      <c r="E370" s="6">
        <v>531</v>
      </c>
      <c r="F370" s="6">
        <v>3186</v>
      </c>
      <c r="G370" s="2" t="s">
        <v>19</v>
      </c>
    </row>
    <row r="371" spans="1:7" x14ac:dyDescent="0.3">
      <c r="A371" s="11" t="s">
        <v>175</v>
      </c>
      <c r="B371" s="1" t="s">
        <v>599</v>
      </c>
      <c r="C371" s="1" t="s">
        <v>24</v>
      </c>
      <c r="D371" s="1">
        <v>1</v>
      </c>
      <c r="E371" s="6">
        <v>342</v>
      </c>
      <c r="F371" s="6">
        <v>342</v>
      </c>
      <c r="G371" s="2" t="s">
        <v>11</v>
      </c>
    </row>
    <row r="372" spans="1:7" x14ac:dyDescent="0.3">
      <c r="A372" s="11" t="s">
        <v>85</v>
      </c>
      <c r="B372" s="1" t="s">
        <v>600</v>
      </c>
      <c r="C372" s="1" t="s">
        <v>14</v>
      </c>
      <c r="D372" s="1">
        <v>1</v>
      </c>
      <c r="E372" s="6">
        <v>599</v>
      </c>
      <c r="F372" s="6">
        <v>599</v>
      </c>
      <c r="G372" s="2" t="s">
        <v>11</v>
      </c>
    </row>
    <row r="373" spans="1:7" x14ac:dyDescent="0.3">
      <c r="A373" s="11" t="s">
        <v>601</v>
      </c>
      <c r="B373" s="1" t="s">
        <v>602</v>
      </c>
      <c r="C373" s="1" t="s">
        <v>24</v>
      </c>
      <c r="D373" s="1">
        <v>4</v>
      </c>
      <c r="E373" s="6">
        <v>58</v>
      </c>
      <c r="F373" s="6">
        <v>232</v>
      </c>
      <c r="G373" s="2" t="s">
        <v>33</v>
      </c>
    </row>
    <row r="374" spans="1:7" x14ac:dyDescent="0.3">
      <c r="A374" s="11" t="s">
        <v>603</v>
      </c>
      <c r="B374" s="1" t="s">
        <v>604</v>
      </c>
      <c r="C374" s="1" t="s">
        <v>65</v>
      </c>
      <c r="D374" s="1">
        <v>4</v>
      </c>
      <c r="E374" s="6">
        <v>917</v>
      </c>
      <c r="F374" s="6">
        <v>3668</v>
      </c>
      <c r="G374" s="2" t="s">
        <v>19</v>
      </c>
    </row>
    <row r="375" spans="1:7" x14ac:dyDescent="0.3">
      <c r="A375" s="11" t="s">
        <v>605</v>
      </c>
      <c r="B375" s="1" t="s">
        <v>606</v>
      </c>
      <c r="C375" s="1" t="s">
        <v>30</v>
      </c>
      <c r="D375" s="1">
        <v>4</v>
      </c>
      <c r="E375" s="6">
        <v>160</v>
      </c>
      <c r="F375" s="6">
        <v>640</v>
      </c>
      <c r="G375" s="2" t="s">
        <v>33</v>
      </c>
    </row>
    <row r="376" spans="1:7" x14ac:dyDescent="0.3">
      <c r="A376" s="11" t="s">
        <v>444</v>
      </c>
      <c r="B376" s="1" t="s">
        <v>607</v>
      </c>
      <c r="C376" s="1" t="s">
        <v>38</v>
      </c>
      <c r="D376" s="1">
        <v>6</v>
      </c>
      <c r="E376" s="6">
        <v>491</v>
      </c>
      <c r="F376" s="6">
        <v>2946</v>
      </c>
      <c r="G376" s="2" t="s">
        <v>11</v>
      </c>
    </row>
    <row r="377" spans="1:7" x14ac:dyDescent="0.3">
      <c r="A377" s="11" t="s">
        <v>608</v>
      </c>
      <c r="B377" s="1" t="s">
        <v>609</v>
      </c>
      <c r="C377" s="1" t="s">
        <v>30</v>
      </c>
      <c r="D377" s="1">
        <v>1</v>
      </c>
      <c r="E377" s="6">
        <v>187</v>
      </c>
      <c r="F377" s="6">
        <v>187</v>
      </c>
      <c r="G377" s="2" t="s">
        <v>19</v>
      </c>
    </row>
    <row r="378" spans="1:7" x14ac:dyDescent="0.3">
      <c r="A378" s="11" t="s">
        <v>535</v>
      </c>
      <c r="B378" s="1" t="s">
        <v>610</v>
      </c>
      <c r="C378" s="1" t="s">
        <v>10</v>
      </c>
      <c r="D378" s="1">
        <v>4</v>
      </c>
      <c r="E378" s="6">
        <v>953</v>
      </c>
      <c r="F378" s="6">
        <v>3812</v>
      </c>
      <c r="G378" s="2" t="s">
        <v>15</v>
      </c>
    </row>
    <row r="379" spans="1:7" x14ac:dyDescent="0.3">
      <c r="A379" s="11" t="s">
        <v>279</v>
      </c>
      <c r="B379" s="1" t="s">
        <v>611</v>
      </c>
      <c r="C379" s="1" t="s">
        <v>6</v>
      </c>
      <c r="D379" s="1">
        <v>6</v>
      </c>
      <c r="E379" s="6">
        <v>320</v>
      </c>
      <c r="F379" s="6">
        <v>1920</v>
      </c>
      <c r="G379" s="2" t="s">
        <v>7</v>
      </c>
    </row>
    <row r="380" spans="1:7" x14ac:dyDescent="0.3">
      <c r="A380" s="11" t="s">
        <v>102</v>
      </c>
      <c r="B380" s="1" t="s">
        <v>612</v>
      </c>
      <c r="C380" s="1" t="s">
        <v>6</v>
      </c>
      <c r="D380" s="1">
        <v>4</v>
      </c>
      <c r="E380" s="6">
        <v>794</v>
      </c>
      <c r="F380" s="6">
        <v>3176</v>
      </c>
      <c r="G380" s="2" t="s">
        <v>27</v>
      </c>
    </row>
    <row r="381" spans="1:7" x14ac:dyDescent="0.3">
      <c r="A381" s="11"/>
      <c r="B381" s="1" t="s">
        <v>613</v>
      </c>
      <c r="C381" s="1"/>
      <c r="D381" s="1">
        <v>1</v>
      </c>
      <c r="E381" s="6">
        <v>424</v>
      </c>
      <c r="F381" s="6">
        <v>424</v>
      </c>
      <c r="G381" s="2" t="s">
        <v>27</v>
      </c>
    </row>
    <row r="382" spans="1:7" x14ac:dyDescent="0.3">
      <c r="A382" s="11" t="s">
        <v>614</v>
      </c>
      <c r="B382" s="1" t="s">
        <v>615</v>
      </c>
      <c r="C382" s="1" t="s">
        <v>30</v>
      </c>
      <c r="D382" s="1">
        <v>1</v>
      </c>
      <c r="E382" s="6">
        <v>832</v>
      </c>
      <c r="F382" s="6">
        <v>832</v>
      </c>
      <c r="G382" s="2" t="s">
        <v>33</v>
      </c>
    </row>
    <row r="383" spans="1:7" x14ac:dyDescent="0.3">
      <c r="A383" s="11" t="s">
        <v>134</v>
      </c>
      <c r="B383" s="1" t="s">
        <v>616</v>
      </c>
      <c r="C383" s="1" t="s">
        <v>10</v>
      </c>
      <c r="D383" s="1">
        <v>3</v>
      </c>
      <c r="E383" s="6">
        <v>462</v>
      </c>
      <c r="F383" s="6">
        <v>1386</v>
      </c>
      <c r="G383" s="2"/>
    </row>
    <row r="384" spans="1:7" x14ac:dyDescent="0.3">
      <c r="A384" s="11" t="s">
        <v>134</v>
      </c>
      <c r="B384" s="1" t="s">
        <v>617</v>
      </c>
      <c r="C384" s="1"/>
      <c r="D384" s="1">
        <v>0</v>
      </c>
      <c r="E384" s="6">
        <v>424</v>
      </c>
      <c r="F384" s="6">
        <v>0</v>
      </c>
      <c r="G384" s="2" t="s">
        <v>19</v>
      </c>
    </row>
    <row r="385" spans="1:7" x14ac:dyDescent="0.3">
      <c r="A385" s="11" t="s">
        <v>322</v>
      </c>
      <c r="B385" s="1" t="s">
        <v>618</v>
      </c>
      <c r="C385" s="1" t="s">
        <v>68</v>
      </c>
      <c r="D385" s="1">
        <v>2</v>
      </c>
      <c r="E385" s="6">
        <v>96</v>
      </c>
      <c r="F385" s="6">
        <v>192</v>
      </c>
      <c r="G385" s="2" t="s">
        <v>7</v>
      </c>
    </row>
    <row r="386" spans="1:7" x14ac:dyDescent="0.3">
      <c r="A386" s="11" t="s">
        <v>619</v>
      </c>
      <c r="B386" s="1" t="s">
        <v>606</v>
      </c>
      <c r="C386" s="1" t="s">
        <v>30</v>
      </c>
      <c r="D386" s="1">
        <v>1</v>
      </c>
      <c r="E386" s="6">
        <v>460</v>
      </c>
      <c r="F386" s="6">
        <v>460</v>
      </c>
      <c r="G386" s="2" t="s">
        <v>19</v>
      </c>
    </row>
    <row r="387" spans="1:7" x14ac:dyDescent="0.3">
      <c r="A387" s="11"/>
      <c r="B387" s="1" t="s">
        <v>620</v>
      </c>
      <c r="C387" s="1" t="s">
        <v>24</v>
      </c>
      <c r="D387" s="1">
        <v>2</v>
      </c>
      <c r="E387" s="6">
        <v>102</v>
      </c>
      <c r="F387" s="6">
        <v>204</v>
      </c>
      <c r="G387" s="2" t="s">
        <v>33</v>
      </c>
    </row>
    <row r="388" spans="1:7" x14ac:dyDescent="0.3">
      <c r="A388" s="11"/>
      <c r="B388" s="1" t="s">
        <v>621</v>
      </c>
      <c r="C388" s="1" t="s">
        <v>38</v>
      </c>
      <c r="D388" s="1" t="e">
        <v>#DIV/0!</v>
      </c>
      <c r="E388" s="6" t="e">
        <v>#DIV/0!</v>
      </c>
      <c r="F388" s="6">
        <v>1899</v>
      </c>
      <c r="G388" s="2" t="s">
        <v>7</v>
      </c>
    </row>
    <row r="389" spans="1:7" x14ac:dyDescent="0.3">
      <c r="A389" s="11" t="s">
        <v>283</v>
      </c>
      <c r="B389" s="1" t="s">
        <v>622</v>
      </c>
      <c r="C389" s="1" t="s">
        <v>24</v>
      </c>
      <c r="D389" s="1">
        <v>5</v>
      </c>
      <c r="E389" s="6">
        <v>625</v>
      </c>
      <c r="F389" s="6">
        <v>3125</v>
      </c>
      <c r="G389" s="2" t="s">
        <v>33</v>
      </c>
    </row>
    <row r="390" spans="1:7" x14ac:dyDescent="0.3">
      <c r="A390" s="11" t="s">
        <v>623</v>
      </c>
      <c r="B390" s="1" t="s">
        <v>624</v>
      </c>
      <c r="C390" s="1"/>
      <c r="D390" s="1">
        <v>6</v>
      </c>
      <c r="E390" s="6">
        <v>249</v>
      </c>
      <c r="F390" s="6">
        <v>1494</v>
      </c>
      <c r="G390" s="2" t="s">
        <v>11</v>
      </c>
    </row>
    <row r="391" spans="1:7" x14ac:dyDescent="0.3">
      <c r="A391" s="11"/>
      <c r="B391" s="1" t="s">
        <v>625</v>
      </c>
      <c r="C391" s="1" t="s">
        <v>14</v>
      </c>
      <c r="D391" s="1" t="e">
        <v>#DIV/0!</v>
      </c>
      <c r="E391" s="6" t="e">
        <v>#DIV/0!</v>
      </c>
      <c r="F391" s="6">
        <v>2105</v>
      </c>
      <c r="G391" s="2" t="s">
        <v>11</v>
      </c>
    </row>
    <row r="392" spans="1:7" x14ac:dyDescent="0.3">
      <c r="A392" s="11"/>
      <c r="B392" s="1" t="s">
        <v>626</v>
      </c>
      <c r="C392" s="1" t="s">
        <v>79</v>
      </c>
      <c r="D392" s="1">
        <v>5</v>
      </c>
      <c r="E392" s="6">
        <v>616</v>
      </c>
      <c r="F392" s="6">
        <v>3080</v>
      </c>
      <c r="G392" s="2" t="s">
        <v>7</v>
      </c>
    </row>
    <row r="393" spans="1:7" x14ac:dyDescent="0.3">
      <c r="A393" s="11" t="s">
        <v>627</v>
      </c>
      <c r="B393" s="1" t="s">
        <v>628</v>
      </c>
      <c r="C393" s="1" t="s">
        <v>10</v>
      </c>
      <c r="D393" s="1">
        <v>6</v>
      </c>
      <c r="E393" s="6">
        <v>345</v>
      </c>
      <c r="F393" s="6">
        <v>2070</v>
      </c>
      <c r="G393" s="2" t="s">
        <v>15</v>
      </c>
    </row>
    <row r="394" spans="1:7" x14ac:dyDescent="0.3">
      <c r="A394" s="11" t="s">
        <v>629</v>
      </c>
      <c r="B394" s="1" t="s">
        <v>630</v>
      </c>
      <c r="C394" s="1" t="s">
        <v>79</v>
      </c>
      <c r="D394" s="1">
        <v>3</v>
      </c>
      <c r="E394" s="6">
        <v>125</v>
      </c>
      <c r="F394" s="6">
        <v>375</v>
      </c>
      <c r="G394" s="2"/>
    </row>
    <row r="395" spans="1:7" x14ac:dyDescent="0.3">
      <c r="A395" s="11" t="s">
        <v>631</v>
      </c>
      <c r="B395" s="1" t="s">
        <v>632</v>
      </c>
      <c r="C395" s="1" t="s">
        <v>18</v>
      </c>
      <c r="D395" s="1">
        <v>4</v>
      </c>
      <c r="E395" s="6">
        <v>445</v>
      </c>
      <c r="F395" s="6">
        <v>1780</v>
      </c>
      <c r="G395" s="2" t="s">
        <v>27</v>
      </c>
    </row>
    <row r="396" spans="1:7" x14ac:dyDescent="0.3">
      <c r="A396" s="11" t="s">
        <v>633</v>
      </c>
      <c r="B396" s="1" t="s">
        <v>634</v>
      </c>
      <c r="C396" s="1" t="s">
        <v>18</v>
      </c>
      <c r="D396" s="1">
        <v>5</v>
      </c>
      <c r="E396" s="6">
        <v>566</v>
      </c>
      <c r="F396" s="6">
        <v>2830</v>
      </c>
      <c r="G396" s="2" t="s">
        <v>11</v>
      </c>
    </row>
    <row r="397" spans="1:7" x14ac:dyDescent="0.3">
      <c r="A397" s="11" t="s">
        <v>635</v>
      </c>
      <c r="B397" s="1" t="s">
        <v>636</v>
      </c>
      <c r="C397" s="1" t="s">
        <v>6</v>
      </c>
      <c r="D397" s="1">
        <v>5</v>
      </c>
      <c r="E397" s="6">
        <v>511</v>
      </c>
      <c r="F397" s="6">
        <v>2555</v>
      </c>
      <c r="G397" s="2" t="s">
        <v>7</v>
      </c>
    </row>
    <row r="398" spans="1:7" x14ac:dyDescent="0.3">
      <c r="A398" s="11" t="s">
        <v>116</v>
      </c>
      <c r="B398" s="1" t="s">
        <v>637</v>
      </c>
      <c r="C398" s="1" t="s">
        <v>79</v>
      </c>
      <c r="D398" s="1">
        <v>3</v>
      </c>
      <c r="E398" s="6">
        <v>832</v>
      </c>
      <c r="F398" s="6">
        <v>2496</v>
      </c>
      <c r="G398" s="2" t="s">
        <v>33</v>
      </c>
    </row>
    <row r="399" spans="1:7" x14ac:dyDescent="0.3">
      <c r="A399" s="11"/>
      <c r="B399" s="1" t="s">
        <v>638</v>
      </c>
      <c r="C399" s="1" t="s">
        <v>30</v>
      </c>
      <c r="D399" s="1">
        <v>4</v>
      </c>
      <c r="E399" s="6">
        <v>0</v>
      </c>
      <c r="F399" s="6">
        <v>0</v>
      </c>
      <c r="G399" s="2"/>
    </row>
    <row r="400" spans="1:7" x14ac:dyDescent="0.3">
      <c r="A400" s="11" t="s">
        <v>158</v>
      </c>
      <c r="B400" s="1" t="s">
        <v>639</v>
      </c>
      <c r="C400" s="1" t="s">
        <v>38</v>
      </c>
      <c r="D400" s="1" t="e">
        <v>#DIV/0!</v>
      </c>
      <c r="E400" s="6" t="e">
        <v>#DIV/0!</v>
      </c>
      <c r="F400" s="6" t="e">
        <v>#DIV/0!</v>
      </c>
      <c r="G400" s="2" t="s">
        <v>33</v>
      </c>
    </row>
    <row r="401" spans="1:7" x14ac:dyDescent="0.3">
      <c r="A401" s="11" t="s">
        <v>559</v>
      </c>
      <c r="B401" s="1" t="s">
        <v>640</v>
      </c>
      <c r="C401" s="1" t="s">
        <v>68</v>
      </c>
      <c r="D401" s="1">
        <v>5</v>
      </c>
      <c r="E401" s="6">
        <v>895</v>
      </c>
      <c r="F401" s="6">
        <v>4475</v>
      </c>
      <c r="G401" s="2" t="s">
        <v>11</v>
      </c>
    </row>
    <row r="402" spans="1:7" x14ac:dyDescent="0.3">
      <c r="A402" s="11" t="s">
        <v>85</v>
      </c>
      <c r="B402" s="1" t="s">
        <v>641</v>
      </c>
      <c r="C402" s="1" t="s">
        <v>24</v>
      </c>
      <c r="D402" s="1">
        <v>4</v>
      </c>
      <c r="E402" s="6">
        <v>688</v>
      </c>
      <c r="F402" s="6">
        <v>2752</v>
      </c>
      <c r="G402" s="2" t="s">
        <v>15</v>
      </c>
    </row>
    <row r="403" spans="1:7" x14ac:dyDescent="0.3">
      <c r="A403" s="11" t="s">
        <v>16</v>
      </c>
      <c r="B403" s="1" t="s">
        <v>642</v>
      </c>
      <c r="C403" s="1" t="s">
        <v>18</v>
      </c>
      <c r="D403" s="1">
        <v>1</v>
      </c>
      <c r="E403" s="6">
        <v>746</v>
      </c>
      <c r="F403" s="6">
        <v>746</v>
      </c>
      <c r="G403" s="2" t="s">
        <v>15</v>
      </c>
    </row>
    <row r="404" spans="1:7" x14ac:dyDescent="0.3">
      <c r="A404" s="11" t="s">
        <v>460</v>
      </c>
      <c r="B404" s="1" t="s">
        <v>643</v>
      </c>
      <c r="C404" s="1" t="s">
        <v>24</v>
      </c>
      <c r="D404" s="1">
        <v>6</v>
      </c>
      <c r="E404" s="6">
        <v>675</v>
      </c>
      <c r="F404" s="6">
        <v>4050</v>
      </c>
      <c r="G404" s="2" t="s">
        <v>27</v>
      </c>
    </row>
    <row r="405" spans="1:7" x14ac:dyDescent="0.3">
      <c r="A405" s="11" t="s">
        <v>644</v>
      </c>
      <c r="B405" s="1" t="s">
        <v>645</v>
      </c>
      <c r="C405" s="1" t="s">
        <v>24</v>
      </c>
      <c r="D405" s="1">
        <v>1</v>
      </c>
      <c r="E405" s="6">
        <v>171</v>
      </c>
      <c r="F405" s="6">
        <v>171</v>
      </c>
      <c r="G405" s="2" t="s">
        <v>7</v>
      </c>
    </row>
    <row r="406" spans="1:7" x14ac:dyDescent="0.3">
      <c r="A406" s="11" t="s">
        <v>100</v>
      </c>
      <c r="B406" s="1" t="s">
        <v>646</v>
      </c>
      <c r="C406" s="1" t="s">
        <v>38</v>
      </c>
      <c r="D406" s="1">
        <v>6</v>
      </c>
      <c r="E406" s="6">
        <v>181</v>
      </c>
      <c r="F406" s="6">
        <v>1086</v>
      </c>
      <c r="G406" s="2" t="s">
        <v>11</v>
      </c>
    </row>
    <row r="407" spans="1:7" x14ac:dyDescent="0.3">
      <c r="A407" s="11" t="s">
        <v>647</v>
      </c>
      <c r="B407" s="1" t="s">
        <v>648</v>
      </c>
      <c r="C407" s="1" t="s">
        <v>10</v>
      </c>
      <c r="D407" s="1">
        <v>6</v>
      </c>
      <c r="E407" s="6">
        <v>0</v>
      </c>
      <c r="F407" s="6">
        <v>0</v>
      </c>
      <c r="G407" s="2"/>
    </row>
    <row r="408" spans="1:7" x14ac:dyDescent="0.3">
      <c r="A408" s="11"/>
      <c r="B408" s="1" t="s">
        <v>649</v>
      </c>
      <c r="C408" s="1" t="s">
        <v>24</v>
      </c>
      <c r="D408" s="1">
        <v>5</v>
      </c>
      <c r="E408" s="6">
        <v>453</v>
      </c>
      <c r="F408" s="6">
        <v>2265</v>
      </c>
      <c r="G408" s="2"/>
    </row>
    <row r="409" spans="1:7" x14ac:dyDescent="0.3">
      <c r="A409" s="11" t="s">
        <v>650</v>
      </c>
      <c r="B409" s="1" t="s">
        <v>651</v>
      </c>
      <c r="C409" s="1" t="s">
        <v>79</v>
      </c>
      <c r="D409" s="1" t="e">
        <v>#DIV/0!</v>
      </c>
      <c r="E409" s="6" t="e">
        <v>#DIV/0!</v>
      </c>
      <c r="F409" s="6">
        <v>2592</v>
      </c>
      <c r="G409" s="2" t="s">
        <v>19</v>
      </c>
    </row>
    <row r="410" spans="1:7" x14ac:dyDescent="0.3">
      <c r="A410" s="11" t="s">
        <v>652</v>
      </c>
      <c r="B410" s="1" t="s">
        <v>653</v>
      </c>
      <c r="C410" s="1" t="s">
        <v>38</v>
      </c>
      <c r="D410" s="1">
        <v>2</v>
      </c>
      <c r="E410" s="6">
        <v>863</v>
      </c>
      <c r="F410" s="6">
        <v>1726</v>
      </c>
      <c r="G410" s="2" t="s">
        <v>7</v>
      </c>
    </row>
    <row r="411" spans="1:7" x14ac:dyDescent="0.3">
      <c r="A411" s="11" t="s">
        <v>499</v>
      </c>
      <c r="B411" s="1" t="s">
        <v>654</v>
      </c>
      <c r="C411" s="1" t="s">
        <v>18</v>
      </c>
      <c r="D411" s="1">
        <v>4</v>
      </c>
      <c r="E411" s="6">
        <v>397</v>
      </c>
      <c r="F411" s="6">
        <v>1588</v>
      </c>
      <c r="G411" s="2" t="s">
        <v>19</v>
      </c>
    </row>
    <row r="412" spans="1:7" x14ac:dyDescent="0.3">
      <c r="A412" s="11" t="s">
        <v>345</v>
      </c>
      <c r="B412" s="1" t="s">
        <v>655</v>
      </c>
      <c r="C412" s="1" t="s">
        <v>14</v>
      </c>
      <c r="D412" s="1">
        <v>4</v>
      </c>
      <c r="E412" s="6">
        <v>621</v>
      </c>
      <c r="F412" s="6">
        <v>2484</v>
      </c>
      <c r="G412" s="2" t="s">
        <v>7</v>
      </c>
    </row>
    <row r="413" spans="1:7" x14ac:dyDescent="0.3">
      <c r="A413" s="11" t="s">
        <v>324</v>
      </c>
      <c r="B413" s="1" t="s">
        <v>656</v>
      </c>
      <c r="C413" s="1" t="s">
        <v>24</v>
      </c>
      <c r="D413" s="1">
        <v>2</v>
      </c>
      <c r="E413" s="6">
        <v>424</v>
      </c>
      <c r="F413" s="6">
        <v>848</v>
      </c>
      <c r="G413" s="2"/>
    </row>
    <row r="414" spans="1:7" x14ac:dyDescent="0.3">
      <c r="A414" s="11" t="s">
        <v>657</v>
      </c>
      <c r="B414" s="1" t="s">
        <v>658</v>
      </c>
      <c r="C414" s="1" t="s">
        <v>6</v>
      </c>
      <c r="D414" s="1">
        <v>4</v>
      </c>
      <c r="E414" s="6">
        <v>823</v>
      </c>
      <c r="F414" s="6">
        <v>3292</v>
      </c>
      <c r="G414" s="2"/>
    </row>
    <row r="415" spans="1:7" x14ac:dyDescent="0.3">
      <c r="A415" s="11" t="s">
        <v>659</v>
      </c>
      <c r="B415" s="1" t="s">
        <v>660</v>
      </c>
      <c r="C415" s="1" t="s">
        <v>38</v>
      </c>
      <c r="D415" s="1">
        <v>3</v>
      </c>
      <c r="E415" s="6">
        <v>197</v>
      </c>
      <c r="F415" s="6">
        <v>591</v>
      </c>
      <c r="G415" s="2" t="s">
        <v>33</v>
      </c>
    </row>
    <row r="416" spans="1:7" x14ac:dyDescent="0.3">
      <c r="A416" s="11" t="s">
        <v>125</v>
      </c>
      <c r="B416" s="1" t="s">
        <v>661</v>
      </c>
      <c r="C416" s="1" t="s">
        <v>10</v>
      </c>
      <c r="D416" s="1">
        <v>4</v>
      </c>
      <c r="E416" s="6">
        <v>253</v>
      </c>
      <c r="F416" s="6">
        <v>1012</v>
      </c>
      <c r="G416" s="2" t="s">
        <v>33</v>
      </c>
    </row>
    <row r="417" spans="1:7" x14ac:dyDescent="0.3">
      <c r="A417" s="11" t="s">
        <v>662</v>
      </c>
      <c r="B417" s="1" t="s">
        <v>663</v>
      </c>
      <c r="C417" s="1" t="s">
        <v>65</v>
      </c>
      <c r="D417" s="1">
        <v>4</v>
      </c>
      <c r="E417" s="6">
        <v>666</v>
      </c>
      <c r="F417" s="6">
        <v>2664</v>
      </c>
      <c r="G417" s="2" t="s">
        <v>11</v>
      </c>
    </row>
    <row r="418" spans="1:7" x14ac:dyDescent="0.3">
      <c r="A418" s="11" t="s">
        <v>360</v>
      </c>
      <c r="B418" s="1" t="s">
        <v>664</v>
      </c>
      <c r="C418" s="1" t="s">
        <v>18</v>
      </c>
      <c r="D418" s="1">
        <v>4</v>
      </c>
      <c r="E418" s="6">
        <v>571</v>
      </c>
      <c r="F418" s="6">
        <v>2284</v>
      </c>
      <c r="G418" s="2" t="s">
        <v>19</v>
      </c>
    </row>
    <row r="419" spans="1:7" x14ac:dyDescent="0.3">
      <c r="A419" s="11" t="s">
        <v>665</v>
      </c>
      <c r="B419" s="1" t="s">
        <v>666</v>
      </c>
      <c r="C419" s="1" t="s">
        <v>18</v>
      </c>
      <c r="D419" s="1">
        <v>6</v>
      </c>
      <c r="E419" s="6">
        <v>461</v>
      </c>
      <c r="F419" s="6">
        <v>2766</v>
      </c>
      <c r="G419" s="2" t="s">
        <v>33</v>
      </c>
    </row>
    <row r="420" spans="1:7" x14ac:dyDescent="0.3">
      <c r="A420" s="11"/>
      <c r="B420" s="1" t="s">
        <v>667</v>
      </c>
      <c r="C420" s="1" t="s">
        <v>65</v>
      </c>
      <c r="D420" s="1">
        <v>1</v>
      </c>
      <c r="E420" s="6">
        <v>562</v>
      </c>
      <c r="F420" s="6">
        <v>562</v>
      </c>
      <c r="G420" s="2" t="s">
        <v>27</v>
      </c>
    </row>
    <row r="421" spans="1:7" x14ac:dyDescent="0.3">
      <c r="A421" s="11" t="s">
        <v>668</v>
      </c>
      <c r="B421" s="1" t="s">
        <v>669</v>
      </c>
      <c r="C421" s="1" t="s">
        <v>79</v>
      </c>
      <c r="D421" s="1">
        <v>3</v>
      </c>
      <c r="E421" s="6">
        <v>91</v>
      </c>
      <c r="F421" s="6">
        <v>273</v>
      </c>
      <c r="G421" s="2" t="s">
        <v>11</v>
      </c>
    </row>
    <row r="422" spans="1:7" x14ac:dyDescent="0.3">
      <c r="A422" s="11" t="s">
        <v>670</v>
      </c>
      <c r="B422" s="1" t="s">
        <v>671</v>
      </c>
      <c r="C422" s="1" t="s">
        <v>14</v>
      </c>
      <c r="D422" s="1">
        <v>4</v>
      </c>
      <c r="E422" s="6">
        <v>96</v>
      </c>
      <c r="F422" s="6">
        <v>384</v>
      </c>
      <c r="G422" s="2"/>
    </row>
    <row r="423" spans="1:7" x14ac:dyDescent="0.3">
      <c r="A423" s="11" t="s">
        <v>245</v>
      </c>
      <c r="B423" s="1" t="s">
        <v>672</v>
      </c>
      <c r="C423" s="1"/>
      <c r="D423" s="1">
        <v>3</v>
      </c>
      <c r="E423" s="6">
        <v>89</v>
      </c>
      <c r="F423" s="6">
        <v>267</v>
      </c>
      <c r="G423" s="2" t="s">
        <v>11</v>
      </c>
    </row>
    <row r="424" spans="1:7" x14ac:dyDescent="0.3">
      <c r="A424" s="11"/>
      <c r="B424" s="1" t="s">
        <v>673</v>
      </c>
      <c r="C424" s="1"/>
      <c r="D424" s="1">
        <v>6</v>
      </c>
      <c r="E424" s="6">
        <v>190</v>
      </c>
      <c r="F424" s="6">
        <v>1140</v>
      </c>
      <c r="G424" s="2" t="s">
        <v>19</v>
      </c>
    </row>
    <row r="425" spans="1:7" x14ac:dyDescent="0.3">
      <c r="A425" s="11" t="s">
        <v>605</v>
      </c>
      <c r="B425" s="1" t="s">
        <v>674</v>
      </c>
      <c r="C425" s="1"/>
      <c r="D425" s="1">
        <v>3</v>
      </c>
      <c r="E425" s="6">
        <v>780</v>
      </c>
      <c r="F425" s="6">
        <v>2340</v>
      </c>
      <c r="G425" s="2" t="s">
        <v>11</v>
      </c>
    </row>
    <row r="426" spans="1:7" x14ac:dyDescent="0.3">
      <c r="A426" s="11" t="s">
        <v>675</v>
      </c>
      <c r="B426" s="1" t="s">
        <v>676</v>
      </c>
      <c r="C426" s="1" t="s">
        <v>18</v>
      </c>
      <c r="D426" s="1">
        <v>3</v>
      </c>
      <c r="E426" s="6">
        <v>391</v>
      </c>
      <c r="F426" s="6">
        <v>1173</v>
      </c>
      <c r="G426" s="2"/>
    </row>
    <row r="427" spans="1:7" x14ac:dyDescent="0.3">
      <c r="A427" s="11" t="s">
        <v>407</v>
      </c>
      <c r="B427" s="1" t="s">
        <v>677</v>
      </c>
      <c r="C427" s="1" t="s">
        <v>38</v>
      </c>
      <c r="D427" s="1">
        <v>2</v>
      </c>
      <c r="E427" s="6">
        <v>873</v>
      </c>
      <c r="F427" s="6">
        <v>1746</v>
      </c>
      <c r="G427" s="2" t="s">
        <v>7</v>
      </c>
    </row>
    <row r="428" spans="1:7" x14ac:dyDescent="0.3">
      <c r="A428" s="11"/>
      <c r="B428" s="1" t="s">
        <v>678</v>
      </c>
      <c r="C428" s="1" t="s">
        <v>79</v>
      </c>
      <c r="D428" s="1">
        <v>6</v>
      </c>
      <c r="E428" s="6">
        <v>535</v>
      </c>
      <c r="F428" s="6">
        <v>3210</v>
      </c>
      <c r="G428" s="2" t="s">
        <v>15</v>
      </c>
    </row>
    <row r="429" spans="1:7" x14ac:dyDescent="0.3">
      <c r="A429" s="11" t="s">
        <v>670</v>
      </c>
      <c r="B429" s="1" t="s">
        <v>679</v>
      </c>
      <c r="C429" s="1"/>
      <c r="D429" s="1">
        <v>4</v>
      </c>
      <c r="E429" s="6">
        <v>581</v>
      </c>
      <c r="F429" s="6">
        <v>2324</v>
      </c>
      <c r="G429" s="2" t="s">
        <v>19</v>
      </c>
    </row>
    <row r="430" spans="1:7" x14ac:dyDescent="0.3">
      <c r="A430" s="11" t="s">
        <v>28</v>
      </c>
      <c r="B430" s="1" t="s">
        <v>680</v>
      </c>
      <c r="C430" s="1" t="s">
        <v>6</v>
      </c>
      <c r="D430" s="1">
        <v>1</v>
      </c>
      <c r="E430" s="6">
        <v>0</v>
      </c>
      <c r="F430" s="6">
        <v>0</v>
      </c>
      <c r="G430" s="2" t="s">
        <v>19</v>
      </c>
    </row>
    <row r="431" spans="1:7" x14ac:dyDescent="0.3">
      <c r="A431" s="11" t="s">
        <v>495</v>
      </c>
      <c r="B431" s="1" t="s">
        <v>681</v>
      </c>
      <c r="C431" s="1" t="s">
        <v>14</v>
      </c>
      <c r="D431" s="1">
        <v>1</v>
      </c>
      <c r="E431" s="6">
        <v>202</v>
      </c>
      <c r="F431" s="6">
        <v>202</v>
      </c>
      <c r="G431" s="2"/>
    </row>
    <row r="432" spans="1:7" x14ac:dyDescent="0.3">
      <c r="A432" s="11" t="s">
        <v>682</v>
      </c>
      <c r="B432" s="1" t="s">
        <v>683</v>
      </c>
      <c r="C432" s="1" t="s">
        <v>79</v>
      </c>
      <c r="D432" s="1">
        <v>1</v>
      </c>
      <c r="E432" s="6">
        <v>670</v>
      </c>
      <c r="F432" s="6">
        <v>670</v>
      </c>
      <c r="G432" s="2" t="s">
        <v>27</v>
      </c>
    </row>
    <row r="433" spans="1:7" x14ac:dyDescent="0.3">
      <c r="A433" s="11" t="s">
        <v>684</v>
      </c>
      <c r="B433" s="1" t="s">
        <v>685</v>
      </c>
      <c r="C433" s="1" t="s">
        <v>30</v>
      </c>
      <c r="D433" s="1">
        <v>1</v>
      </c>
      <c r="E433" s="6">
        <v>964</v>
      </c>
      <c r="F433" s="6">
        <v>964</v>
      </c>
      <c r="G433" s="2" t="s">
        <v>33</v>
      </c>
    </row>
    <row r="434" spans="1:7" x14ac:dyDescent="0.3">
      <c r="A434" s="11" t="s">
        <v>686</v>
      </c>
      <c r="B434" s="1" t="s">
        <v>687</v>
      </c>
      <c r="C434" s="1" t="s">
        <v>38</v>
      </c>
      <c r="D434" s="1">
        <v>4</v>
      </c>
      <c r="E434" s="6">
        <v>577</v>
      </c>
      <c r="F434" s="6">
        <v>2308</v>
      </c>
      <c r="G434" s="2" t="s">
        <v>33</v>
      </c>
    </row>
    <row r="435" spans="1:7" x14ac:dyDescent="0.3">
      <c r="A435" s="11" t="s">
        <v>129</v>
      </c>
      <c r="B435" s="1" t="s">
        <v>688</v>
      </c>
      <c r="C435" s="1" t="s">
        <v>30</v>
      </c>
      <c r="D435" s="1">
        <v>1</v>
      </c>
      <c r="E435" s="6">
        <v>0</v>
      </c>
      <c r="F435" s="6">
        <v>0</v>
      </c>
      <c r="G435" s="2" t="s">
        <v>33</v>
      </c>
    </row>
    <row r="436" spans="1:7" x14ac:dyDescent="0.3">
      <c r="A436" s="11" t="s">
        <v>689</v>
      </c>
      <c r="B436" s="1" t="s">
        <v>690</v>
      </c>
      <c r="C436" s="1" t="s">
        <v>79</v>
      </c>
      <c r="D436" s="1">
        <v>6</v>
      </c>
      <c r="E436" s="6">
        <v>385</v>
      </c>
      <c r="F436" s="6">
        <v>2310</v>
      </c>
      <c r="G436" s="2" t="s">
        <v>15</v>
      </c>
    </row>
    <row r="437" spans="1:7" x14ac:dyDescent="0.3">
      <c r="A437" s="11" t="s">
        <v>253</v>
      </c>
      <c r="B437" s="1" t="s">
        <v>691</v>
      </c>
      <c r="C437" s="1" t="s">
        <v>10</v>
      </c>
      <c r="D437" s="1">
        <v>6</v>
      </c>
      <c r="E437" s="6">
        <v>677</v>
      </c>
      <c r="F437" s="6">
        <v>4062</v>
      </c>
      <c r="G437" s="2" t="s">
        <v>19</v>
      </c>
    </row>
    <row r="438" spans="1:7" x14ac:dyDescent="0.3">
      <c r="A438" s="11" t="s">
        <v>659</v>
      </c>
      <c r="B438" s="1" t="s">
        <v>692</v>
      </c>
      <c r="C438" s="1" t="s">
        <v>6</v>
      </c>
      <c r="D438" s="1">
        <v>3</v>
      </c>
      <c r="E438" s="6">
        <v>376</v>
      </c>
      <c r="F438" s="6">
        <v>1128</v>
      </c>
      <c r="G438" s="2" t="s">
        <v>7</v>
      </c>
    </row>
    <row r="439" spans="1:7" x14ac:dyDescent="0.3">
      <c r="A439" s="11" t="s">
        <v>568</v>
      </c>
      <c r="B439" s="1" t="s">
        <v>693</v>
      </c>
      <c r="C439" s="1" t="s">
        <v>14</v>
      </c>
      <c r="D439" s="1">
        <v>2</v>
      </c>
      <c r="E439" s="6">
        <v>216</v>
      </c>
      <c r="F439" s="6">
        <v>432</v>
      </c>
      <c r="G439" s="2" t="s">
        <v>19</v>
      </c>
    </row>
    <row r="440" spans="1:7" x14ac:dyDescent="0.3">
      <c r="A440" s="11" t="s">
        <v>694</v>
      </c>
      <c r="B440" s="1" t="s">
        <v>695</v>
      </c>
      <c r="C440" s="1" t="s">
        <v>24</v>
      </c>
      <c r="D440" s="1">
        <v>5</v>
      </c>
      <c r="E440" s="6">
        <v>452</v>
      </c>
      <c r="F440" s="6">
        <v>2260</v>
      </c>
      <c r="G440" s="2" t="s">
        <v>15</v>
      </c>
    </row>
    <row r="441" spans="1:7" x14ac:dyDescent="0.3">
      <c r="A441" s="11" t="s">
        <v>125</v>
      </c>
      <c r="B441" s="1" t="s">
        <v>696</v>
      </c>
      <c r="C441" s="1" t="s">
        <v>68</v>
      </c>
      <c r="D441" s="1">
        <v>1</v>
      </c>
      <c r="E441" s="6">
        <v>681</v>
      </c>
      <c r="F441" s="6">
        <v>681</v>
      </c>
      <c r="G441" s="2" t="s">
        <v>33</v>
      </c>
    </row>
    <row r="442" spans="1:7" x14ac:dyDescent="0.3">
      <c r="A442" s="11" t="s">
        <v>108</v>
      </c>
      <c r="B442" s="1" t="s">
        <v>697</v>
      </c>
      <c r="C442" s="1"/>
      <c r="D442" s="1">
        <v>5</v>
      </c>
      <c r="E442" s="6">
        <v>0</v>
      </c>
      <c r="F442" s="6">
        <v>0</v>
      </c>
      <c r="G442" s="2" t="s">
        <v>7</v>
      </c>
    </row>
    <row r="443" spans="1:7" x14ac:dyDescent="0.3">
      <c r="A443" s="11" t="s">
        <v>603</v>
      </c>
      <c r="B443" s="1" t="s">
        <v>698</v>
      </c>
      <c r="C443" s="1" t="s">
        <v>10</v>
      </c>
      <c r="D443" s="1">
        <v>5</v>
      </c>
      <c r="E443" s="6">
        <v>912</v>
      </c>
      <c r="F443" s="6">
        <v>4560</v>
      </c>
      <c r="G443" s="2" t="s">
        <v>7</v>
      </c>
    </row>
    <row r="444" spans="1:7" x14ac:dyDescent="0.3">
      <c r="A444" s="11" t="s">
        <v>699</v>
      </c>
      <c r="B444" s="1" t="s">
        <v>700</v>
      </c>
      <c r="C444" s="1" t="s">
        <v>6</v>
      </c>
      <c r="D444" s="1">
        <v>0</v>
      </c>
      <c r="E444" s="6">
        <v>356</v>
      </c>
      <c r="F444" s="6">
        <v>0</v>
      </c>
      <c r="G444" s="2" t="s">
        <v>11</v>
      </c>
    </row>
    <row r="445" spans="1:7" x14ac:dyDescent="0.3">
      <c r="A445" s="11" t="s">
        <v>576</v>
      </c>
      <c r="B445" s="1" t="s">
        <v>701</v>
      </c>
      <c r="C445" s="1" t="s">
        <v>68</v>
      </c>
      <c r="D445" s="1">
        <v>3</v>
      </c>
      <c r="E445" s="6">
        <v>657</v>
      </c>
      <c r="F445" s="6">
        <v>1971</v>
      </c>
      <c r="G445" s="2" t="s">
        <v>27</v>
      </c>
    </row>
    <row r="446" spans="1:7" x14ac:dyDescent="0.3">
      <c r="A446" s="11" t="s">
        <v>193</v>
      </c>
      <c r="B446" s="1" t="s">
        <v>702</v>
      </c>
      <c r="C446" s="1" t="s">
        <v>38</v>
      </c>
      <c r="D446" s="1">
        <v>6</v>
      </c>
      <c r="E446" s="6">
        <v>394</v>
      </c>
      <c r="F446" s="6">
        <v>2364</v>
      </c>
      <c r="G446" s="2" t="s">
        <v>7</v>
      </c>
    </row>
    <row r="447" spans="1:7" x14ac:dyDescent="0.3">
      <c r="A447" s="11" t="s">
        <v>428</v>
      </c>
      <c r="B447" s="1" t="s">
        <v>703</v>
      </c>
      <c r="C447" s="1" t="s">
        <v>79</v>
      </c>
      <c r="D447" s="1">
        <v>1</v>
      </c>
      <c r="E447" s="6">
        <v>569</v>
      </c>
      <c r="F447" s="6">
        <v>569</v>
      </c>
      <c r="G447" s="2" t="s">
        <v>11</v>
      </c>
    </row>
    <row r="448" spans="1:7" x14ac:dyDescent="0.3">
      <c r="A448" s="11" t="s">
        <v>351</v>
      </c>
      <c r="B448" s="1" t="s">
        <v>704</v>
      </c>
      <c r="C448" s="1" t="s">
        <v>79</v>
      </c>
      <c r="D448" s="1">
        <v>4</v>
      </c>
      <c r="E448" s="6">
        <v>898</v>
      </c>
      <c r="F448" s="6">
        <v>3592</v>
      </c>
      <c r="G448" s="2" t="s">
        <v>27</v>
      </c>
    </row>
    <row r="449" spans="1:7" x14ac:dyDescent="0.3">
      <c r="A449" s="11" t="s">
        <v>330</v>
      </c>
      <c r="B449" s="1" t="s">
        <v>705</v>
      </c>
      <c r="C449" s="1" t="s">
        <v>38</v>
      </c>
      <c r="D449" s="1">
        <v>3</v>
      </c>
      <c r="E449" s="6">
        <v>571</v>
      </c>
      <c r="F449" s="6">
        <v>1713</v>
      </c>
      <c r="G449" s="2" t="s">
        <v>33</v>
      </c>
    </row>
    <row r="450" spans="1:7" x14ac:dyDescent="0.3">
      <c r="A450" s="11" t="s">
        <v>414</v>
      </c>
      <c r="B450" s="1" t="s">
        <v>706</v>
      </c>
      <c r="C450" s="1" t="s">
        <v>68</v>
      </c>
      <c r="D450" s="1">
        <v>6</v>
      </c>
      <c r="E450" s="6">
        <v>0</v>
      </c>
      <c r="F450" s="6">
        <v>0</v>
      </c>
      <c r="G450" s="2" t="s">
        <v>11</v>
      </c>
    </row>
    <row r="451" spans="1:7" x14ac:dyDescent="0.3">
      <c r="A451" s="11" t="s">
        <v>547</v>
      </c>
      <c r="B451" s="1" t="s">
        <v>571</v>
      </c>
      <c r="C451" s="1" t="s">
        <v>30</v>
      </c>
      <c r="D451" s="1">
        <v>4</v>
      </c>
      <c r="E451" s="6">
        <v>551</v>
      </c>
      <c r="F451" s="6">
        <v>2204</v>
      </c>
      <c r="G451" s="2" t="s">
        <v>19</v>
      </c>
    </row>
    <row r="452" spans="1:7" x14ac:dyDescent="0.3">
      <c r="A452" s="11" t="s">
        <v>402</v>
      </c>
      <c r="B452" s="1" t="s">
        <v>707</v>
      </c>
      <c r="C452" s="1" t="s">
        <v>6</v>
      </c>
      <c r="D452" s="1">
        <v>6</v>
      </c>
      <c r="E452" s="6">
        <v>775</v>
      </c>
      <c r="F452" s="6">
        <v>4650</v>
      </c>
      <c r="G452" s="2" t="s">
        <v>19</v>
      </c>
    </row>
    <row r="453" spans="1:7" x14ac:dyDescent="0.3">
      <c r="A453" s="11" t="s">
        <v>131</v>
      </c>
      <c r="B453" s="1" t="s">
        <v>708</v>
      </c>
      <c r="C453" s="1" t="s">
        <v>38</v>
      </c>
      <c r="D453" s="1">
        <v>1</v>
      </c>
      <c r="E453" s="6">
        <v>626</v>
      </c>
      <c r="F453" s="6">
        <v>626</v>
      </c>
      <c r="G453" s="2" t="s">
        <v>27</v>
      </c>
    </row>
    <row r="454" spans="1:7" x14ac:dyDescent="0.3">
      <c r="A454" s="11" t="s">
        <v>20</v>
      </c>
      <c r="B454" s="1" t="s">
        <v>709</v>
      </c>
      <c r="C454" s="1" t="s">
        <v>68</v>
      </c>
      <c r="D454" s="1">
        <v>3</v>
      </c>
      <c r="E454" s="6">
        <v>356</v>
      </c>
      <c r="F454" s="6">
        <v>1068</v>
      </c>
      <c r="G454" s="2" t="s">
        <v>11</v>
      </c>
    </row>
    <row r="455" spans="1:7" x14ac:dyDescent="0.3">
      <c r="A455" s="11" t="s">
        <v>710</v>
      </c>
      <c r="B455" s="1" t="s">
        <v>711</v>
      </c>
      <c r="C455" s="1" t="s">
        <v>18</v>
      </c>
      <c r="D455" s="1">
        <v>5</v>
      </c>
      <c r="E455" s="6">
        <v>536</v>
      </c>
      <c r="F455" s="6">
        <v>2680</v>
      </c>
      <c r="G455" s="2" t="s">
        <v>15</v>
      </c>
    </row>
    <row r="456" spans="1:7" x14ac:dyDescent="0.3">
      <c r="A456" s="11" t="s">
        <v>712</v>
      </c>
      <c r="B456" s="1" t="s">
        <v>713</v>
      </c>
      <c r="C456" s="1" t="s">
        <v>14</v>
      </c>
      <c r="D456" s="1">
        <v>3</v>
      </c>
      <c r="E456" s="6">
        <v>885</v>
      </c>
      <c r="F456" s="6">
        <v>2655</v>
      </c>
      <c r="G456" s="2" t="s">
        <v>11</v>
      </c>
    </row>
    <row r="457" spans="1:7" x14ac:dyDescent="0.3">
      <c r="A457" s="11" t="s">
        <v>714</v>
      </c>
      <c r="B457" s="1" t="s">
        <v>715</v>
      </c>
      <c r="C457" s="1" t="s">
        <v>10</v>
      </c>
      <c r="D457" s="1">
        <v>3</v>
      </c>
      <c r="E457" s="6">
        <v>67</v>
      </c>
      <c r="F457" s="6">
        <v>201</v>
      </c>
      <c r="G457" s="2" t="s">
        <v>15</v>
      </c>
    </row>
    <row r="458" spans="1:7" x14ac:dyDescent="0.3">
      <c r="A458" s="11" t="s">
        <v>631</v>
      </c>
      <c r="B458" s="1" t="s">
        <v>716</v>
      </c>
      <c r="C458" s="1" t="s">
        <v>38</v>
      </c>
      <c r="D458" s="1">
        <v>1</v>
      </c>
      <c r="E458" s="6">
        <v>427</v>
      </c>
      <c r="F458" s="6">
        <v>427</v>
      </c>
      <c r="G458" s="2" t="s">
        <v>7</v>
      </c>
    </row>
    <row r="459" spans="1:7" x14ac:dyDescent="0.3">
      <c r="A459" s="11" t="s">
        <v>717</v>
      </c>
      <c r="B459" s="1" t="s">
        <v>718</v>
      </c>
      <c r="C459" s="1" t="s">
        <v>10</v>
      </c>
      <c r="D459" s="1">
        <v>5</v>
      </c>
      <c r="E459" s="6">
        <v>389</v>
      </c>
      <c r="F459" s="6">
        <v>1945</v>
      </c>
      <c r="G459" s="2" t="s">
        <v>7</v>
      </c>
    </row>
    <row r="460" spans="1:7" x14ac:dyDescent="0.3">
      <c r="A460" s="11" t="s">
        <v>304</v>
      </c>
      <c r="B460" s="1" t="s">
        <v>719</v>
      </c>
      <c r="C460" s="1" t="s">
        <v>30</v>
      </c>
      <c r="D460" s="1">
        <v>5</v>
      </c>
      <c r="E460" s="6">
        <v>739</v>
      </c>
      <c r="F460" s="6">
        <v>3695</v>
      </c>
      <c r="G460" s="2" t="s">
        <v>7</v>
      </c>
    </row>
    <row r="461" spans="1:7" x14ac:dyDescent="0.3">
      <c r="A461" s="11" t="s">
        <v>428</v>
      </c>
      <c r="B461" s="1" t="s">
        <v>720</v>
      </c>
      <c r="C461" s="1" t="s">
        <v>30</v>
      </c>
      <c r="D461" s="1">
        <v>2</v>
      </c>
      <c r="E461" s="6">
        <v>162</v>
      </c>
      <c r="F461" s="6">
        <v>324</v>
      </c>
      <c r="G461" s="2" t="s">
        <v>11</v>
      </c>
    </row>
    <row r="462" spans="1:7" x14ac:dyDescent="0.3">
      <c r="A462" s="11"/>
      <c r="B462" s="1" t="s">
        <v>721</v>
      </c>
      <c r="C462" s="1" t="s">
        <v>18</v>
      </c>
      <c r="D462" s="1">
        <v>2</v>
      </c>
      <c r="E462" s="6">
        <v>476</v>
      </c>
      <c r="F462" s="6">
        <v>952</v>
      </c>
      <c r="G462" s="2" t="s">
        <v>27</v>
      </c>
    </row>
    <row r="463" spans="1:7" x14ac:dyDescent="0.3">
      <c r="A463" s="11" t="s">
        <v>535</v>
      </c>
      <c r="B463" s="1" t="s">
        <v>722</v>
      </c>
      <c r="C463" s="1" t="s">
        <v>79</v>
      </c>
      <c r="D463" s="1">
        <v>0</v>
      </c>
      <c r="E463" s="6">
        <v>647</v>
      </c>
      <c r="F463" s="6">
        <v>0</v>
      </c>
      <c r="G463" s="2" t="s">
        <v>15</v>
      </c>
    </row>
    <row r="464" spans="1:7" x14ac:dyDescent="0.3">
      <c r="A464" s="11" t="s">
        <v>226</v>
      </c>
      <c r="B464" s="1" t="s">
        <v>723</v>
      </c>
      <c r="C464" s="1" t="s">
        <v>38</v>
      </c>
      <c r="D464" s="1">
        <v>4</v>
      </c>
      <c r="E464" s="6">
        <v>365</v>
      </c>
      <c r="F464" s="6">
        <v>1460</v>
      </c>
      <c r="G464" s="2" t="s">
        <v>11</v>
      </c>
    </row>
    <row r="465" spans="1:7" x14ac:dyDescent="0.3">
      <c r="A465" s="11" t="s">
        <v>724</v>
      </c>
      <c r="B465" s="1" t="s">
        <v>725</v>
      </c>
      <c r="C465" s="1" t="s">
        <v>6</v>
      </c>
      <c r="D465" s="1">
        <v>2</v>
      </c>
      <c r="E465" s="6">
        <v>865</v>
      </c>
      <c r="F465" s="6">
        <v>1730</v>
      </c>
      <c r="G465" s="2" t="s">
        <v>7</v>
      </c>
    </row>
    <row r="466" spans="1:7" x14ac:dyDescent="0.3">
      <c r="A466" s="11" t="s">
        <v>603</v>
      </c>
      <c r="B466" s="1" t="s">
        <v>726</v>
      </c>
      <c r="C466" s="1" t="s">
        <v>79</v>
      </c>
      <c r="D466" s="1">
        <v>1</v>
      </c>
      <c r="E466" s="6">
        <v>970</v>
      </c>
      <c r="F466" s="6">
        <v>970</v>
      </c>
      <c r="G466" s="2" t="s">
        <v>19</v>
      </c>
    </row>
    <row r="467" spans="1:7" x14ac:dyDescent="0.3">
      <c r="A467" s="11" t="s">
        <v>104</v>
      </c>
      <c r="B467" s="1" t="s">
        <v>727</v>
      </c>
      <c r="C467" s="1" t="s">
        <v>68</v>
      </c>
      <c r="D467" s="1">
        <v>3</v>
      </c>
      <c r="E467" s="6">
        <v>792</v>
      </c>
      <c r="F467" s="6">
        <v>2376</v>
      </c>
      <c r="G467" s="2" t="s">
        <v>7</v>
      </c>
    </row>
    <row r="468" spans="1:7" x14ac:dyDescent="0.3">
      <c r="A468" s="11" t="s">
        <v>728</v>
      </c>
      <c r="B468" s="1" t="s">
        <v>729</v>
      </c>
      <c r="C468" s="1"/>
      <c r="D468" s="1">
        <v>5</v>
      </c>
      <c r="E468" s="6">
        <v>943</v>
      </c>
      <c r="F468" s="6">
        <v>4715</v>
      </c>
      <c r="G468" s="2" t="s">
        <v>27</v>
      </c>
    </row>
    <row r="469" spans="1:7" x14ac:dyDescent="0.3">
      <c r="A469" s="11" t="s">
        <v>100</v>
      </c>
      <c r="B469" s="1" t="s">
        <v>730</v>
      </c>
      <c r="C469" s="1" t="s">
        <v>6</v>
      </c>
      <c r="D469" s="1">
        <v>3</v>
      </c>
      <c r="E469" s="6">
        <v>754</v>
      </c>
      <c r="F469" s="6">
        <v>2262</v>
      </c>
      <c r="G469" s="2" t="s">
        <v>7</v>
      </c>
    </row>
    <row r="470" spans="1:7" x14ac:dyDescent="0.3">
      <c r="A470" s="11" t="s">
        <v>731</v>
      </c>
      <c r="B470" s="1" t="s">
        <v>732</v>
      </c>
      <c r="C470" s="1" t="s">
        <v>14</v>
      </c>
      <c r="D470" s="1">
        <v>1</v>
      </c>
      <c r="E470" s="6">
        <v>0</v>
      </c>
      <c r="F470" s="6">
        <v>0</v>
      </c>
      <c r="G470" s="2" t="s">
        <v>33</v>
      </c>
    </row>
    <row r="471" spans="1:7" x14ac:dyDescent="0.3">
      <c r="A471" s="11" t="s">
        <v>652</v>
      </c>
      <c r="B471" s="1" t="s">
        <v>733</v>
      </c>
      <c r="C471" s="1" t="s">
        <v>30</v>
      </c>
      <c r="D471" s="1">
        <v>3</v>
      </c>
      <c r="E471" s="6">
        <v>77</v>
      </c>
      <c r="F471" s="6">
        <v>231</v>
      </c>
      <c r="G471" s="2"/>
    </row>
    <row r="472" spans="1:7" x14ac:dyDescent="0.3">
      <c r="A472" s="11" t="s">
        <v>463</v>
      </c>
      <c r="B472" s="1" t="s">
        <v>734</v>
      </c>
      <c r="C472" s="1" t="s">
        <v>14</v>
      </c>
      <c r="D472" s="1">
        <v>5</v>
      </c>
      <c r="E472" s="6">
        <v>661</v>
      </c>
      <c r="F472" s="6">
        <v>3305</v>
      </c>
      <c r="G472" s="2" t="s">
        <v>19</v>
      </c>
    </row>
    <row r="473" spans="1:7" x14ac:dyDescent="0.3">
      <c r="A473" s="11" t="s">
        <v>728</v>
      </c>
      <c r="B473" s="1" t="s">
        <v>735</v>
      </c>
      <c r="C473" s="1"/>
      <c r="D473" s="1">
        <v>2</v>
      </c>
      <c r="E473" s="6">
        <v>535</v>
      </c>
      <c r="F473" s="6">
        <v>1070</v>
      </c>
      <c r="G473" s="2" t="s">
        <v>15</v>
      </c>
    </row>
    <row r="474" spans="1:7" x14ac:dyDescent="0.3">
      <c r="A474" s="11" t="s">
        <v>736</v>
      </c>
      <c r="B474" s="1" t="s">
        <v>737</v>
      </c>
      <c r="C474" s="1" t="s">
        <v>79</v>
      </c>
      <c r="D474" s="1">
        <v>4</v>
      </c>
      <c r="E474" s="6">
        <v>321</v>
      </c>
      <c r="F474" s="6">
        <v>1284</v>
      </c>
      <c r="G474" s="2" t="s">
        <v>7</v>
      </c>
    </row>
    <row r="475" spans="1:7" x14ac:dyDescent="0.3">
      <c r="A475" s="11" t="s">
        <v>338</v>
      </c>
      <c r="B475" s="1" t="s">
        <v>738</v>
      </c>
      <c r="C475" s="1" t="s">
        <v>38</v>
      </c>
      <c r="D475" s="1">
        <v>5</v>
      </c>
      <c r="E475" s="6">
        <v>721</v>
      </c>
      <c r="F475" s="6">
        <v>3605</v>
      </c>
      <c r="G475" s="2" t="s">
        <v>27</v>
      </c>
    </row>
    <row r="476" spans="1:7" x14ac:dyDescent="0.3">
      <c r="A476" s="11"/>
      <c r="B476" s="1" t="s">
        <v>739</v>
      </c>
      <c r="C476" s="1" t="s">
        <v>14</v>
      </c>
      <c r="D476" s="1">
        <v>5</v>
      </c>
      <c r="E476" s="6">
        <v>851</v>
      </c>
      <c r="F476" s="6">
        <v>4255</v>
      </c>
      <c r="G476" s="2" t="s">
        <v>15</v>
      </c>
    </row>
    <row r="477" spans="1:7" x14ac:dyDescent="0.3">
      <c r="A477" s="11" t="s">
        <v>523</v>
      </c>
      <c r="B477" s="1" t="s">
        <v>740</v>
      </c>
      <c r="C477" s="1" t="s">
        <v>30</v>
      </c>
      <c r="D477" s="1">
        <v>5</v>
      </c>
      <c r="E477" s="6">
        <v>844</v>
      </c>
      <c r="F477" s="6">
        <v>4220</v>
      </c>
      <c r="G477" s="2" t="s">
        <v>19</v>
      </c>
    </row>
    <row r="478" spans="1:7" x14ac:dyDescent="0.3">
      <c r="A478" s="11" t="s">
        <v>741</v>
      </c>
      <c r="B478" s="1" t="s">
        <v>742</v>
      </c>
      <c r="C478" s="1" t="s">
        <v>24</v>
      </c>
      <c r="D478" s="1">
        <v>6</v>
      </c>
      <c r="E478" s="6">
        <v>642</v>
      </c>
      <c r="F478" s="6">
        <v>3852</v>
      </c>
      <c r="G478" s="2" t="s">
        <v>33</v>
      </c>
    </row>
    <row r="479" spans="1:7" x14ac:dyDescent="0.3">
      <c r="A479" s="11"/>
      <c r="B479" s="1" t="s">
        <v>743</v>
      </c>
      <c r="C479" s="1"/>
      <c r="D479" s="1">
        <v>6</v>
      </c>
      <c r="E479" s="6">
        <v>641</v>
      </c>
      <c r="F479" s="6">
        <v>3846</v>
      </c>
      <c r="G479" s="2" t="s">
        <v>27</v>
      </c>
    </row>
    <row r="480" spans="1:7" x14ac:dyDescent="0.3">
      <c r="A480" s="11" t="s">
        <v>247</v>
      </c>
      <c r="B480" s="1" t="s">
        <v>744</v>
      </c>
      <c r="C480" s="1" t="s">
        <v>38</v>
      </c>
      <c r="D480" s="1">
        <v>5</v>
      </c>
      <c r="E480" s="6">
        <v>283</v>
      </c>
      <c r="F480" s="6">
        <v>1415</v>
      </c>
      <c r="G480" s="2" t="s">
        <v>19</v>
      </c>
    </row>
    <row r="481" spans="1:7" x14ac:dyDescent="0.3">
      <c r="A481" s="11" t="s">
        <v>745</v>
      </c>
      <c r="B481" s="1" t="s">
        <v>746</v>
      </c>
      <c r="C481" s="1" t="s">
        <v>38</v>
      </c>
      <c r="D481" s="1">
        <v>1</v>
      </c>
      <c r="E481" s="6">
        <v>788</v>
      </c>
      <c r="F481" s="6">
        <v>788</v>
      </c>
      <c r="G481" s="2" t="s">
        <v>19</v>
      </c>
    </row>
    <row r="482" spans="1:7" x14ac:dyDescent="0.3">
      <c r="A482" s="11" t="s">
        <v>563</v>
      </c>
      <c r="B482" s="1" t="s">
        <v>747</v>
      </c>
      <c r="C482" s="1"/>
      <c r="D482" s="1">
        <v>5</v>
      </c>
      <c r="E482" s="6">
        <v>102</v>
      </c>
      <c r="F482" s="6">
        <v>510</v>
      </c>
      <c r="G482" s="2" t="s">
        <v>11</v>
      </c>
    </row>
    <row r="483" spans="1:7" x14ac:dyDescent="0.3">
      <c r="A483" s="11" t="s">
        <v>505</v>
      </c>
      <c r="B483" s="1" t="s">
        <v>748</v>
      </c>
      <c r="C483" s="1" t="s">
        <v>68</v>
      </c>
      <c r="D483" s="1">
        <v>6</v>
      </c>
      <c r="E483" s="6">
        <v>647</v>
      </c>
      <c r="F483" s="6">
        <v>3882</v>
      </c>
      <c r="G483" s="2" t="s">
        <v>15</v>
      </c>
    </row>
    <row r="484" spans="1:7" x14ac:dyDescent="0.3">
      <c r="A484" s="11" t="s">
        <v>749</v>
      </c>
      <c r="B484" s="1" t="s">
        <v>750</v>
      </c>
      <c r="C484" s="1" t="s">
        <v>68</v>
      </c>
      <c r="D484" s="1">
        <v>6</v>
      </c>
      <c r="E484" s="6">
        <v>541</v>
      </c>
      <c r="F484" s="6">
        <v>3246</v>
      </c>
      <c r="G484" s="2" t="s">
        <v>11</v>
      </c>
    </row>
    <row r="485" spans="1:7" x14ac:dyDescent="0.3">
      <c r="A485" s="11" t="s">
        <v>561</v>
      </c>
      <c r="B485" s="1" t="s">
        <v>751</v>
      </c>
      <c r="C485" s="1" t="s">
        <v>14</v>
      </c>
      <c r="D485" s="1">
        <v>3</v>
      </c>
      <c r="E485" s="6">
        <v>224</v>
      </c>
      <c r="F485" s="6">
        <v>672</v>
      </c>
      <c r="G485" s="2" t="s">
        <v>19</v>
      </c>
    </row>
    <row r="486" spans="1:7" x14ac:dyDescent="0.3">
      <c r="A486" s="11"/>
      <c r="B486" s="1" t="s">
        <v>752</v>
      </c>
      <c r="C486" s="1" t="s">
        <v>38</v>
      </c>
      <c r="D486" s="1">
        <v>1</v>
      </c>
      <c r="E486" s="6">
        <v>586</v>
      </c>
      <c r="F486" s="6">
        <v>586</v>
      </c>
      <c r="G486" s="2"/>
    </row>
    <row r="487" spans="1:7" x14ac:dyDescent="0.3">
      <c r="A487" s="11" t="s">
        <v>592</v>
      </c>
      <c r="B487" s="1" t="s">
        <v>753</v>
      </c>
      <c r="C487" s="1" t="s">
        <v>30</v>
      </c>
      <c r="D487" s="1">
        <v>2</v>
      </c>
      <c r="E487" s="6">
        <v>694</v>
      </c>
      <c r="F487" s="6">
        <v>1388</v>
      </c>
      <c r="G487" s="2" t="s">
        <v>7</v>
      </c>
    </row>
    <row r="488" spans="1:7" x14ac:dyDescent="0.3">
      <c r="A488" s="11" t="s">
        <v>754</v>
      </c>
      <c r="B488" s="1" t="s">
        <v>755</v>
      </c>
      <c r="C488" s="1" t="s">
        <v>10</v>
      </c>
      <c r="D488" s="1">
        <v>3</v>
      </c>
      <c r="E488" s="6">
        <v>788</v>
      </c>
      <c r="F488" s="6">
        <v>2364</v>
      </c>
      <c r="G488" s="2"/>
    </row>
    <row r="489" spans="1:7" x14ac:dyDescent="0.3">
      <c r="A489" s="11" t="s">
        <v>614</v>
      </c>
      <c r="B489" s="1" t="s">
        <v>756</v>
      </c>
      <c r="C489" s="1" t="s">
        <v>14</v>
      </c>
      <c r="D489" s="1">
        <v>0</v>
      </c>
      <c r="E489" s="6">
        <v>684</v>
      </c>
      <c r="F489" s="6">
        <v>0</v>
      </c>
      <c r="G489" s="2" t="s">
        <v>33</v>
      </c>
    </row>
    <row r="490" spans="1:7" x14ac:dyDescent="0.3">
      <c r="A490" s="11" t="s">
        <v>724</v>
      </c>
      <c r="B490" s="1" t="s">
        <v>757</v>
      </c>
      <c r="C490" s="1" t="s">
        <v>14</v>
      </c>
      <c r="D490" s="1">
        <v>3</v>
      </c>
      <c r="E490" s="6">
        <v>843</v>
      </c>
      <c r="F490" s="6">
        <v>2529</v>
      </c>
      <c r="G490" s="2" t="s">
        <v>11</v>
      </c>
    </row>
    <row r="491" spans="1:7" x14ac:dyDescent="0.3">
      <c r="A491" s="11" t="s">
        <v>619</v>
      </c>
      <c r="B491" s="1" t="s">
        <v>758</v>
      </c>
      <c r="C491" s="1" t="s">
        <v>18</v>
      </c>
      <c r="D491" s="1">
        <v>3</v>
      </c>
      <c r="E491" s="6">
        <v>911</v>
      </c>
      <c r="F491" s="6">
        <v>2733</v>
      </c>
      <c r="G491" s="2" t="s">
        <v>7</v>
      </c>
    </row>
    <row r="492" spans="1:7" x14ac:dyDescent="0.3">
      <c r="A492" s="11"/>
      <c r="B492" s="1" t="s">
        <v>759</v>
      </c>
      <c r="C492" s="1" t="s">
        <v>38</v>
      </c>
      <c r="D492" s="1">
        <v>3</v>
      </c>
      <c r="E492" s="6">
        <v>439</v>
      </c>
      <c r="F492" s="6">
        <v>1317</v>
      </c>
      <c r="G492" s="2" t="s">
        <v>11</v>
      </c>
    </row>
    <row r="493" spans="1:7" x14ac:dyDescent="0.3">
      <c r="A493" s="11" t="s">
        <v>728</v>
      </c>
      <c r="B493" s="1" t="s">
        <v>760</v>
      </c>
      <c r="C493" s="1" t="s">
        <v>68</v>
      </c>
      <c r="D493" s="1">
        <v>1</v>
      </c>
      <c r="E493" s="6">
        <v>201</v>
      </c>
      <c r="F493" s="6">
        <v>201</v>
      </c>
      <c r="G493" s="2" t="s">
        <v>33</v>
      </c>
    </row>
    <row r="494" spans="1:7" x14ac:dyDescent="0.3">
      <c r="A494" s="11" t="s">
        <v>605</v>
      </c>
      <c r="B494" s="1" t="s">
        <v>761</v>
      </c>
      <c r="C494" s="1" t="s">
        <v>68</v>
      </c>
      <c r="D494" s="1">
        <v>2</v>
      </c>
      <c r="E494" s="6">
        <v>891</v>
      </c>
      <c r="F494" s="6">
        <v>1782</v>
      </c>
      <c r="G494" s="2" t="s">
        <v>15</v>
      </c>
    </row>
    <row r="495" spans="1:7" x14ac:dyDescent="0.3">
      <c r="A495" s="11" t="s">
        <v>235</v>
      </c>
      <c r="B495" s="1" t="s">
        <v>762</v>
      </c>
      <c r="C495" s="1" t="s">
        <v>79</v>
      </c>
      <c r="D495" s="1">
        <v>2</v>
      </c>
      <c r="E495" s="6">
        <v>747</v>
      </c>
      <c r="F495" s="6">
        <v>1494</v>
      </c>
      <c r="G495" s="2" t="s">
        <v>33</v>
      </c>
    </row>
    <row r="496" spans="1:7" x14ac:dyDescent="0.3">
      <c r="A496" s="11" t="s">
        <v>763</v>
      </c>
      <c r="B496" s="1" t="s">
        <v>764</v>
      </c>
      <c r="C496" s="1"/>
      <c r="D496" s="1">
        <v>5</v>
      </c>
      <c r="E496" s="6">
        <v>298</v>
      </c>
      <c r="F496" s="6">
        <v>1490</v>
      </c>
      <c r="G496" s="2" t="s">
        <v>33</v>
      </c>
    </row>
    <row r="497" spans="1:7" x14ac:dyDescent="0.3">
      <c r="A497" s="11" t="s">
        <v>765</v>
      </c>
      <c r="B497" s="1" t="s">
        <v>766</v>
      </c>
      <c r="C497" s="1" t="s">
        <v>65</v>
      </c>
      <c r="D497" s="1">
        <v>6</v>
      </c>
      <c r="E497" s="6">
        <v>82</v>
      </c>
      <c r="F497" s="6">
        <v>492</v>
      </c>
      <c r="G497" s="2" t="s">
        <v>7</v>
      </c>
    </row>
    <row r="498" spans="1:7" x14ac:dyDescent="0.3">
      <c r="A498" s="11" t="s">
        <v>503</v>
      </c>
      <c r="B498" s="1" t="s">
        <v>767</v>
      </c>
      <c r="C498" s="1" t="s">
        <v>65</v>
      </c>
      <c r="D498" s="1">
        <v>4</v>
      </c>
      <c r="E498" s="6">
        <v>636</v>
      </c>
      <c r="F498" s="6">
        <v>2544</v>
      </c>
      <c r="G498" s="2" t="s">
        <v>11</v>
      </c>
    </row>
    <row r="499" spans="1:7" x14ac:dyDescent="0.3">
      <c r="A499" s="11" t="s">
        <v>689</v>
      </c>
      <c r="B499" s="1" t="s">
        <v>768</v>
      </c>
      <c r="C499" s="1" t="s">
        <v>18</v>
      </c>
      <c r="D499" s="1">
        <v>1</v>
      </c>
      <c r="E499" s="6">
        <v>767</v>
      </c>
      <c r="F499" s="6">
        <v>767</v>
      </c>
      <c r="G499" s="2"/>
    </row>
    <row r="500" spans="1:7" x14ac:dyDescent="0.3">
      <c r="A500" s="11" t="s">
        <v>69</v>
      </c>
      <c r="B500" s="1" t="s">
        <v>769</v>
      </c>
      <c r="C500" s="1" t="s">
        <v>30</v>
      </c>
      <c r="D500" s="1">
        <v>2</v>
      </c>
      <c r="E500" s="6">
        <v>162</v>
      </c>
      <c r="F500" s="6">
        <v>324</v>
      </c>
      <c r="G500" s="2" t="s">
        <v>27</v>
      </c>
    </row>
    <row r="501" spans="1:7" x14ac:dyDescent="0.3">
      <c r="A501" s="11" t="s">
        <v>63</v>
      </c>
      <c r="B501" s="1" t="s">
        <v>770</v>
      </c>
      <c r="C501" s="1"/>
      <c r="D501" s="1">
        <v>6</v>
      </c>
      <c r="E501" s="6">
        <v>245</v>
      </c>
      <c r="F501" s="6">
        <v>1470</v>
      </c>
      <c r="G501" s="2" t="s">
        <v>19</v>
      </c>
    </row>
    <row r="502" spans="1:7" x14ac:dyDescent="0.3">
      <c r="A502" s="11" t="s">
        <v>771</v>
      </c>
      <c r="B502" s="1" t="s">
        <v>772</v>
      </c>
      <c r="C502" s="1"/>
      <c r="D502" s="1">
        <v>6</v>
      </c>
      <c r="E502" s="6">
        <v>69</v>
      </c>
      <c r="F502" s="6">
        <v>414</v>
      </c>
      <c r="G502" s="2" t="s">
        <v>15</v>
      </c>
    </row>
    <row r="503" spans="1:7" x14ac:dyDescent="0.3">
      <c r="A503" s="11" t="s">
        <v>347</v>
      </c>
      <c r="B503" s="1" t="s">
        <v>773</v>
      </c>
      <c r="C503" s="1" t="s">
        <v>6</v>
      </c>
      <c r="D503" s="1">
        <v>1</v>
      </c>
      <c r="E503" s="6">
        <v>501</v>
      </c>
      <c r="F503" s="6">
        <v>501</v>
      </c>
      <c r="G503" s="2" t="s">
        <v>15</v>
      </c>
    </row>
    <row r="504" spans="1:7" x14ac:dyDescent="0.3">
      <c r="A504" s="11" t="s">
        <v>480</v>
      </c>
      <c r="B504" s="1" t="s">
        <v>774</v>
      </c>
      <c r="C504" s="1"/>
      <c r="D504" s="1" t="e">
        <v>#DIV/0!</v>
      </c>
      <c r="E504" s="6" t="e">
        <v>#DIV/0!</v>
      </c>
      <c r="F504" s="6">
        <v>371</v>
      </c>
      <c r="G504" s="2" t="s">
        <v>11</v>
      </c>
    </row>
    <row r="505" spans="1:7" x14ac:dyDescent="0.3">
      <c r="A505" s="11" t="s">
        <v>266</v>
      </c>
      <c r="B505" s="1" t="s">
        <v>775</v>
      </c>
      <c r="C505" s="1" t="s">
        <v>30</v>
      </c>
      <c r="D505" s="1">
        <v>6</v>
      </c>
      <c r="E505" s="6">
        <v>478</v>
      </c>
      <c r="F505" s="6">
        <v>2868</v>
      </c>
      <c r="G505" s="2"/>
    </row>
    <row r="506" spans="1:7" x14ac:dyDescent="0.3">
      <c r="A506" s="11" t="s">
        <v>776</v>
      </c>
      <c r="B506" s="1" t="s">
        <v>777</v>
      </c>
      <c r="C506" s="1" t="s">
        <v>68</v>
      </c>
      <c r="D506" s="1">
        <v>5</v>
      </c>
      <c r="E506" s="6">
        <v>205</v>
      </c>
      <c r="F506" s="6">
        <v>1025</v>
      </c>
      <c r="G506" s="2" t="s">
        <v>33</v>
      </c>
    </row>
    <row r="507" spans="1:7" x14ac:dyDescent="0.3">
      <c r="A507" s="11" t="s">
        <v>749</v>
      </c>
      <c r="B507" s="1" t="s">
        <v>778</v>
      </c>
      <c r="C507" s="1" t="s">
        <v>79</v>
      </c>
      <c r="D507" s="1">
        <v>2</v>
      </c>
      <c r="E507" s="6">
        <v>472</v>
      </c>
      <c r="F507" s="6">
        <v>944</v>
      </c>
      <c r="G507" s="2" t="s">
        <v>7</v>
      </c>
    </row>
    <row r="508" spans="1:7" x14ac:dyDescent="0.3">
      <c r="A508" s="11" t="s">
        <v>647</v>
      </c>
      <c r="B508" s="1" t="s">
        <v>779</v>
      </c>
      <c r="C508" s="1" t="s">
        <v>6</v>
      </c>
      <c r="D508" s="1">
        <v>4</v>
      </c>
      <c r="E508" s="6">
        <v>757</v>
      </c>
      <c r="F508" s="6">
        <v>3028</v>
      </c>
      <c r="G508" s="2" t="s">
        <v>11</v>
      </c>
    </row>
    <row r="509" spans="1:7" x14ac:dyDescent="0.3">
      <c r="A509" s="11" t="s">
        <v>523</v>
      </c>
      <c r="B509" s="1" t="s">
        <v>780</v>
      </c>
      <c r="C509" s="1" t="s">
        <v>18</v>
      </c>
      <c r="D509" s="1">
        <v>4</v>
      </c>
      <c r="E509" s="6">
        <v>258</v>
      </c>
      <c r="F509" s="6">
        <v>1032</v>
      </c>
      <c r="G509" s="2" t="s">
        <v>11</v>
      </c>
    </row>
    <row r="510" spans="1:7" x14ac:dyDescent="0.3">
      <c r="A510" s="11" t="s">
        <v>781</v>
      </c>
      <c r="B510" s="1" t="s">
        <v>782</v>
      </c>
      <c r="C510" s="1" t="s">
        <v>14</v>
      </c>
      <c r="D510" s="1">
        <v>4</v>
      </c>
      <c r="E510" s="6">
        <v>470</v>
      </c>
      <c r="F510" s="6">
        <v>1880</v>
      </c>
      <c r="G510" s="2" t="s">
        <v>19</v>
      </c>
    </row>
    <row r="511" spans="1:7" x14ac:dyDescent="0.3">
      <c r="A511" s="11" t="s">
        <v>41</v>
      </c>
      <c r="B511" s="1" t="s">
        <v>783</v>
      </c>
      <c r="C511" s="1"/>
      <c r="D511" s="1">
        <v>3</v>
      </c>
      <c r="E511" s="6">
        <v>563</v>
      </c>
      <c r="F511" s="6">
        <v>1689</v>
      </c>
      <c r="G511" s="2" t="s">
        <v>27</v>
      </c>
    </row>
    <row r="512" spans="1:7" x14ac:dyDescent="0.3">
      <c r="A512" s="11" t="s">
        <v>102</v>
      </c>
      <c r="B512" s="1" t="s">
        <v>784</v>
      </c>
      <c r="C512" s="1" t="s">
        <v>18</v>
      </c>
      <c r="D512" s="1">
        <v>2</v>
      </c>
      <c r="E512" s="6">
        <v>843</v>
      </c>
      <c r="F512" s="6">
        <v>1686</v>
      </c>
      <c r="G512" s="2" t="s">
        <v>15</v>
      </c>
    </row>
    <row r="513" spans="1:7" x14ac:dyDescent="0.3">
      <c r="A513" s="11" t="s">
        <v>670</v>
      </c>
      <c r="B513" s="1" t="s">
        <v>785</v>
      </c>
      <c r="C513" s="1"/>
      <c r="D513" s="1" t="e">
        <v>#DIV/0!</v>
      </c>
      <c r="E513" s="6" t="e">
        <v>#DIV/0!</v>
      </c>
      <c r="F513" s="6">
        <v>2028</v>
      </c>
      <c r="G513" s="2" t="s">
        <v>33</v>
      </c>
    </row>
    <row r="514" spans="1:7" x14ac:dyDescent="0.3">
      <c r="A514" s="11" t="s">
        <v>786</v>
      </c>
      <c r="B514" s="1" t="s">
        <v>787</v>
      </c>
      <c r="C514" s="1" t="s">
        <v>10</v>
      </c>
      <c r="D514" s="1">
        <v>0</v>
      </c>
      <c r="E514" s="6">
        <v>992</v>
      </c>
      <c r="F514" s="6">
        <v>0</v>
      </c>
      <c r="G514" s="2" t="s">
        <v>7</v>
      </c>
    </row>
    <row r="515" spans="1:7" x14ac:dyDescent="0.3">
      <c r="A515" s="11" t="s">
        <v>552</v>
      </c>
      <c r="B515" s="1" t="s">
        <v>788</v>
      </c>
      <c r="C515" s="1" t="s">
        <v>10</v>
      </c>
      <c r="D515" s="1">
        <v>6</v>
      </c>
      <c r="E515" s="6">
        <v>532</v>
      </c>
      <c r="F515" s="6">
        <v>3192</v>
      </c>
      <c r="G515" s="2" t="s">
        <v>15</v>
      </c>
    </row>
    <row r="516" spans="1:7" x14ac:dyDescent="0.3">
      <c r="A516" s="11" t="s">
        <v>789</v>
      </c>
      <c r="B516" s="1" t="s">
        <v>790</v>
      </c>
      <c r="C516" s="1"/>
      <c r="D516" s="1">
        <v>3</v>
      </c>
      <c r="E516" s="6">
        <v>943</v>
      </c>
      <c r="F516" s="6">
        <v>2829</v>
      </c>
      <c r="G516" s="2" t="s">
        <v>33</v>
      </c>
    </row>
    <row r="517" spans="1:7" x14ac:dyDescent="0.3">
      <c r="A517" s="11" t="s">
        <v>659</v>
      </c>
      <c r="B517" s="1" t="s">
        <v>791</v>
      </c>
      <c r="C517" s="1" t="s">
        <v>65</v>
      </c>
      <c r="D517" s="1">
        <v>5</v>
      </c>
      <c r="E517" s="6">
        <v>918</v>
      </c>
      <c r="F517" s="6">
        <v>4590</v>
      </c>
      <c r="G517" s="2" t="s">
        <v>11</v>
      </c>
    </row>
    <row r="518" spans="1:7" x14ac:dyDescent="0.3">
      <c r="A518" s="11" t="s">
        <v>763</v>
      </c>
      <c r="B518" s="1" t="s">
        <v>792</v>
      </c>
      <c r="C518" s="1" t="s">
        <v>68</v>
      </c>
      <c r="D518" s="1">
        <v>5</v>
      </c>
      <c r="E518" s="6">
        <v>803</v>
      </c>
      <c r="F518" s="6">
        <v>4015</v>
      </c>
      <c r="G518" s="2" t="s">
        <v>27</v>
      </c>
    </row>
    <row r="519" spans="1:7" x14ac:dyDescent="0.3">
      <c r="A519" s="11" t="s">
        <v>793</v>
      </c>
      <c r="B519" s="1" t="s">
        <v>794</v>
      </c>
      <c r="C519" s="1"/>
      <c r="D519" s="1">
        <v>1</v>
      </c>
      <c r="E519" s="6">
        <v>794</v>
      </c>
      <c r="F519" s="6">
        <v>794</v>
      </c>
      <c r="G519" s="2" t="s">
        <v>11</v>
      </c>
    </row>
    <row r="520" spans="1:7" x14ac:dyDescent="0.3">
      <c r="A520" s="11" t="s">
        <v>601</v>
      </c>
      <c r="B520" s="1" t="s">
        <v>795</v>
      </c>
      <c r="C520" s="1" t="s">
        <v>65</v>
      </c>
      <c r="D520" s="1">
        <v>1</v>
      </c>
      <c r="E520" s="6">
        <v>113</v>
      </c>
      <c r="F520" s="6">
        <v>113</v>
      </c>
      <c r="G520" s="2" t="s">
        <v>27</v>
      </c>
    </row>
    <row r="521" spans="1:7" x14ac:dyDescent="0.3">
      <c r="A521" s="11" t="s">
        <v>796</v>
      </c>
      <c r="B521" s="1" t="s">
        <v>797</v>
      </c>
      <c r="C521" s="1" t="s">
        <v>38</v>
      </c>
      <c r="D521" s="1">
        <v>2</v>
      </c>
      <c r="E521" s="6">
        <v>772</v>
      </c>
      <c r="F521" s="6">
        <v>1544</v>
      </c>
      <c r="G521" s="2" t="s">
        <v>19</v>
      </c>
    </row>
    <row r="522" spans="1:7" x14ac:dyDescent="0.3">
      <c r="A522" s="11" t="s">
        <v>547</v>
      </c>
      <c r="B522" s="1" t="s">
        <v>798</v>
      </c>
      <c r="C522" s="1" t="s">
        <v>68</v>
      </c>
      <c r="D522" s="1">
        <v>2</v>
      </c>
      <c r="E522" s="6">
        <v>191</v>
      </c>
      <c r="F522" s="6">
        <v>382</v>
      </c>
      <c r="G522" s="2" t="s">
        <v>33</v>
      </c>
    </row>
    <row r="523" spans="1:7" x14ac:dyDescent="0.3">
      <c r="A523" s="11" t="s">
        <v>277</v>
      </c>
      <c r="B523" s="1" t="s">
        <v>799</v>
      </c>
      <c r="C523" s="1" t="s">
        <v>18</v>
      </c>
      <c r="D523" s="1">
        <v>5</v>
      </c>
      <c r="E523" s="6">
        <v>581</v>
      </c>
      <c r="F523" s="6">
        <v>2905</v>
      </c>
      <c r="G523" s="2" t="s">
        <v>15</v>
      </c>
    </row>
    <row r="524" spans="1:7" x14ac:dyDescent="0.3">
      <c r="A524" s="11" t="s">
        <v>177</v>
      </c>
      <c r="B524" s="1" t="s">
        <v>800</v>
      </c>
      <c r="C524" s="1" t="s">
        <v>38</v>
      </c>
      <c r="D524" s="1">
        <v>1</v>
      </c>
      <c r="E524" s="6">
        <v>262</v>
      </c>
      <c r="F524" s="6">
        <v>262</v>
      </c>
      <c r="G524" s="2" t="s">
        <v>11</v>
      </c>
    </row>
    <row r="525" spans="1:7" x14ac:dyDescent="0.3">
      <c r="A525" s="11" t="s">
        <v>801</v>
      </c>
      <c r="B525" s="1" t="s">
        <v>802</v>
      </c>
      <c r="C525" s="1" t="s">
        <v>65</v>
      </c>
      <c r="D525" s="1">
        <v>6</v>
      </c>
      <c r="E525" s="6">
        <v>624</v>
      </c>
      <c r="F525" s="6">
        <v>3744</v>
      </c>
      <c r="G525" s="2" t="s">
        <v>27</v>
      </c>
    </row>
    <row r="526" spans="1:7" x14ac:dyDescent="0.3">
      <c r="A526" s="11" t="s">
        <v>308</v>
      </c>
      <c r="B526" s="1" t="s">
        <v>803</v>
      </c>
      <c r="C526" s="1" t="s">
        <v>38</v>
      </c>
      <c r="D526" s="1">
        <v>1</v>
      </c>
      <c r="E526" s="6">
        <v>382</v>
      </c>
      <c r="F526" s="6">
        <v>382</v>
      </c>
      <c r="G526" s="2" t="s">
        <v>27</v>
      </c>
    </row>
    <row r="527" spans="1:7" x14ac:dyDescent="0.3">
      <c r="A527" s="11" t="s">
        <v>12</v>
      </c>
      <c r="B527" s="1" t="s">
        <v>804</v>
      </c>
      <c r="C527" s="1"/>
      <c r="D527" s="1">
        <v>3</v>
      </c>
      <c r="E527" s="6">
        <v>728</v>
      </c>
      <c r="F527" s="6">
        <v>2184</v>
      </c>
      <c r="G527" s="2" t="s">
        <v>11</v>
      </c>
    </row>
    <row r="528" spans="1:7" x14ac:dyDescent="0.3">
      <c r="A528" s="11" t="s">
        <v>108</v>
      </c>
      <c r="B528" s="1" t="s">
        <v>805</v>
      </c>
      <c r="C528" s="1" t="s">
        <v>24</v>
      </c>
      <c r="D528" s="1">
        <v>4</v>
      </c>
      <c r="E528" s="6">
        <v>539</v>
      </c>
      <c r="F528" s="6">
        <v>2156</v>
      </c>
      <c r="G528" s="2" t="s">
        <v>15</v>
      </c>
    </row>
    <row r="529" spans="1:7" x14ac:dyDescent="0.3">
      <c r="A529" s="11" t="s">
        <v>368</v>
      </c>
      <c r="B529" s="1" t="s">
        <v>806</v>
      </c>
      <c r="C529" s="1" t="s">
        <v>10</v>
      </c>
      <c r="D529" s="1">
        <v>6</v>
      </c>
      <c r="E529" s="6">
        <v>588</v>
      </c>
      <c r="F529" s="6">
        <v>3528</v>
      </c>
      <c r="G529" s="2" t="s">
        <v>33</v>
      </c>
    </row>
    <row r="530" spans="1:7" x14ac:dyDescent="0.3">
      <c r="A530" s="11" t="s">
        <v>807</v>
      </c>
      <c r="B530" s="1" t="s">
        <v>808</v>
      </c>
      <c r="C530" s="1" t="s">
        <v>6</v>
      </c>
      <c r="D530" s="1">
        <v>4</v>
      </c>
      <c r="E530" s="6">
        <v>435</v>
      </c>
      <c r="F530" s="6">
        <v>1740</v>
      </c>
      <c r="G530" s="2" t="s">
        <v>19</v>
      </c>
    </row>
    <row r="531" spans="1:7" x14ac:dyDescent="0.3">
      <c r="A531" s="11" t="s">
        <v>493</v>
      </c>
      <c r="B531" s="1" t="s">
        <v>809</v>
      </c>
      <c r="C531" s="1" t="s">
        <v>38</v>
      </c>
      <c r="D531" s="1">
        <v>4</v>
      </c>
      <c r="E531" s="6">
        <v>371</v>
      </c>
      <c r="F531" s="6">
        <v>1484</v>
      </c>
      <c r="G531" s="2" t="s">
        <v>19</v>
      </c>
    </row>
    <row r="532" spans="1:7" x14ac:dyDescent="0.3">
      <c r="A532" s="11" t="s">
        <v>533</v>
      </c>
      <c r="B532" s="1" t="s">
        <v>810</v>
      </c>
      <c r="C532" s="1" t="s">
        <v>18</v>
      </c>
      <c r="D532" s="1">
        <v>5</v>
      </c>
      <c r="E532" s="6">
        <v>227</v>
      </c>
      <c r="F532" s="6">
        <v>1135</v>
      </c>
      <c r="G532" s="2" t="s">
        <v>7</v>
      </c>
    </row>
    <row r="533" spans="1:7" x14ac:dyDescent="0.3">
      <c r="A533" s="11" t="s">
        <v>811</v>
      </c>
      <c r="B533" s="1" t="s">
        <v>812</v>
      </c>
      <c r="C533" s="1" t="s">
        <v>24</v>
      </c>
      <c r="D533" s="1">
        <v>4</v>
      </c>
      <c r="E533" s="6">
        <v>520</v>
      </c>
      <c r="F533" s="6">
        <v>2080</v>
      </c>
      <c r="G533" s="2" t="s">
        <v>7</v>
      </c>
    </row>
    <row r="534" spans="1:7" x14ac:dyDescent="0.3">
      <c r="A534" s="11" t="s">
        <v>633</v>
      </c>
      <c r="B534" s="1" t="s">
        <v>813</v>
      </c>
      <c r="C534" s="1" t="s">
        <v>30</v>
      </c>
      <c r="D534" s="1">
        <v>4</v>
      </c>
      <c r="E534" s="6">
        <v>984</v>
      </c>
      <c r="F534" s="6">
        <v>3936</v>
      </c>
      <c r="G534" s="2"/>
    </row>
    <row r="535" spans="1:7" x14ac:dyDescent="0.3">
      <c r="A535" s="11" t="s">
        <v>262</v>
      </c>
      <c r="B535" s="1" t="s">
        <v>814</v>
      </c>
      <c r="C535" s="1" t="s">
        <v>65</v>
      </c>
      <c r="D535" s="1">
        <v>3</v>
      </c>
      <c r="E535" s="6">
        <v>0</v>
      </c>
      <c r="F535" s="6">
        <v>0</v>
      </c>
      <c r="G535" s="2" t="s">
        <v>15</v>
      </c>
    </row>
    <row r="536" spans="1:7" x14ac:dyDescent="0.3">
      <c r="A536" s="11" t="s">
        <v>198</v>
      </c>
      <c r="B536" s="1" t="s">
        <v>815</v>
      </c>
      <c r="C536" s="1" t="s">
        <v>10</v>
      </c>
      <c r="D536" s="1">
        <v>2</v>
      </c>
      <c r="E536" s="6">
        <v>400</v>
      </c>
      <c r="F536" s="6">
        <v>800</v>
      </c>
      <c r="G536" s="2" t="s">
        <v>33</v>
      </c>
    </row>
    <row r="537" spans="1:7" x14ac:dyDescent="0.3">
      <c r="A537" s="11" t="s">
        <v>156</v>
      </c>
      <c r="B537" s="1" t="s">
        <v>816</v>
      </c>
      <c r="C537" s="1" t="s">
        <v>30</v>
      </c>
      <c r="D537" s="1">
        <v>5</v>
      </c>
      <c r="E537" s="6">
        <v>609</v>
      </c>
      <c r="F537" s="6">
        <v>3045</v>
      </c>
      <c r="G537" s="2"/>
    </row>
    <row r="538" spans="1:7" x14ac:dyDescent="0.3">
      <c r="A538" s="11" t="s">
        <v>817</v>
      </c>
      <c r="B538" s="1" t="s">
        <v>818</v>
      </c>
      <c r="C538" s="1"/>
      <c r="D538" s="1">
        <v>1</v>
      </c>
      <c r="E538" s="6">
        <v>412</v>
      </c>
      <c r="F538" s="6">
        <v>412</v>
      </c>
      <c r="G538" s="2" t="s">
        <v>7</v>
      </c>
    </row>
    <row r="539" spans="1:7" x14ac:dyDescent="0.3">
      <c r="A539" s="11"/>
      <c r="B539" s="1" t="s">
        <v>819</v>
      </c>
      <c r="C539" s="1" t="s">
        <v>6</v>
      </c>
      <c r="D539" s="1">
        <v>3</v>
      </c>
      <c r="E539" s="6">
        <v>742</v>
      </c>
      <c r="F539" s="6">
        <v>2226</v>
      </c>
      <c r="G539" s="2" t="s">
        <v>7</v>
      </c>
    </row>
    <row r="540" spans="1:7" x14ac:dyDescent="0.3">
      <c r="A540" s="11" t="s">
        <v>448</v>
      </c>
      <c r="B540" s="1" t="s">
        <v>820</v>
      </c>
      <c r="C540" s="1" t="s">
        <v>65</v>
      </c>
      <c r="D540" s="1">
        <v>4</v>
      </c>
      <c r="E540" s="6">
        <v>840</v>
      </c>
      <c r="F540" s="6">
        <v>3360</v>
      </c>
      <c r="G540" s="2" t="s">
        <v>15</v>
      </c>
    </row>
    <row r="541" spans="1:7" x14ac:dyDescent="0.3">
      <c r="A541" s="11" t="s">
        <v>100</v>
      </c>
      <c r="B541" s="1" t="s">
        <v>821</v>
      </c>
      <c r="C541" s="1" t="s">
        <v>24</v>
      </c>
      <c r="D541" s="1">
        <v>1</v>
      </c>
      <c r="E541" s="6">
        <v>938</v>
      </c>
      <c r="F541" s="6">
        <v>938</v>
      </c>
      <c r="G541" s="2" t="s">
        <v>7</v>
      </c>
    </row>
    <row r="542" spans="1:7" x14ac:dyDescent="0.3">
      <c r="A542" s="11" t="s">
        <v>559</v>
      </c>
      <c r="B542" s="1" t="s">
        <v>822</v>
      </c>
      <c r="C542" s="1" t="s">
        <v>65</v>
      </c>
      <c r="D542" s="1">
        <v>0</v>
      </c>
      <c r="E542" s="6">
        <v>788</v>
      </c>
      <c r="F542" s="6">
        <v>0</v>
      </c>
      <c r="G542" s="2" t="s">
        <v>19</v>
      </c>
    </row>
    <row r="543" spans="1:7" x14ac:dyDescent="0.3">
      <c r="A543" s="11" t="s">
        <v>823</v>
      </c>
      <c r="B543" s="1" t="s">
        <v>824</v>
      </c>
      <c r="C543" s="1" t="s">
        <v>30</v>
      </c>
      <c r="D543" s="1">
        <v>6</v>
      </c>
      <c r="E543" s="6">
        <v>747</v>
      </c>
      <c r="F543" s="6">
        <v>4482</v>
      </c>
      <c r="G543" s="2" t="s">
        <v>11</v>
      </c>
    </row>
    <row r="544" spans="1:7" x14ac:dyDescent="0.3">
      <c r="A544" s="11"/>
      <c r="B544" s="1" t="s">
        <v>825</v>
      </c>
      <c r="C544" s="1"/>
      <c r="D544" s="1">
        <v>6</v>
      </c>
      <c r="E544" s="6">
        <v>708</v>
      </c>
      <c r="F544" s="6">
        <v>4248</v>
      </c>
      <c r="G544" s="2" t="s">
        <v>19</v>
      </c>
    </row>
    <row r="545" spans="1:7" x14ac:dyDescent="0.3">
      <c r="A545" s="11" t="s">
        <v>633</v>
      </c>
      <c r="B545" s="1" t="s">
        <v>826</v>
      </c>
      <c r="C545" s="1" t="s">
        <v>68</v>
      </c>
      <c r="D545" s="1">
        <v>5</v>
      </c>
      <c r="E545" s="6">
        <v>872</v>
      </c>
      <c r="F545" s="6">
        <v>4360</v>
      </c>
      <c r="G545" s="2" t="s">
        <v>19</v>
      </c>
    </row>
    <row r="546" spans="1:7" x14ac:dyDescent="0.3">
      <c r="A546" s="11" t="s">
        <v>827</v>
      </c>
      <c r="B546" s="1" t="s">
        <v>828</v>
      </c>
      <c r="C546" s="1"/>
      <c r="D546" s="1">
        <v>4</v>
      </c>
      <c r="E546" s="6">
        <v>759</v>
      </c>
      <c r="F546" s="6">
        <v>3036</v>
      </c>
      <c r="G546" s="2" t="s">
        <v>27</v>
      </c>
    </row>
    <row r="547" spans="1:7" x14ac:dyDescent="0.3">
      <c r="A547" s="11" t="s">
        <v>829</v>
      </c>
      <c r="B547" s="1" t="s">
        <v>830</v>
      </c>
      <c r="C547" s="1" t="s">
        <v>65</v>
      </c>
      <c r="D547" s="1">
        <v>5</v>
      </c>
      <c r="E547" s="6">
        <v>320</v>
      </c>
      <c r="F547" s="6">
        <v>1600</v>
      </c>
      <c r="G547" s="2" t="s">
        <v>11</v>
      </c>
    </row>
    <row r="548" spans="1:7" x14ac:dyDescent="0.3">
      <c r="A548" s="11"/>
      <c r="B548" s="1" t="s">
        <v>831</v>
      </c>
      <c r="C548" s="1" t="s">
        <v>68</v>
      </c>
      <c r="D548" s="1">
        <v>6</v>
      </c>
      <c r="E548" s="6">
        <v>674</v>
      </c>
      <c r="F548" s="6">
        <v>4044</v>
      </c>
      <c r="G548" s="2" t="s">
        <v>19</v>
      </c>
    </row>
    <row r="549" spans="1:7" x14ac:dyDescent="0.3">
      <c r="A549" s="11" t="s">
        <v>686</v>
      </c>
      <c r="B549" s="1" t="s">
        <v>832</v>
      </c>
      <c r="C549" s="1" t="s">
        <v>30</v>
      </c>
      <c r="D549" s="1">
        <v>3</v>
      </c>
      <c r="E549" s="6">
        <v>545</v>
      </c>
      <c r="F549" s="6">
        <v>1635</v>
      </c>
      <c r="G549" s="2" t="s">
        <v>11</v>
      </c>
    </row>
    <row r="550" spans="1:7" x14ac:dyDescent="0.3">
      <c r="A550" s="11"/>
      <c r="B550" s="1" t="s">
        <v>833</v>
      </c>
      <c r="C550" s="1"/>
      <c r="D550" s="1">
        <v>1</v>
      </c>
      <c r="E550" s="6">
        <v>246</v>
      </c>
      <c r="F550" s="6">
        <v>246</v>
      </c>
      <c r="G550" s="2"/>
    </row>
    <row r="551" spans="1:7" x14ac:dyDescent="0.3">
      <c r="A551" s="11" t="s">
        <v>834</v>
      </c>
      <c r="B551" s="1" t="s">
        <v>835</v>
      </c>
      <c r="C551" s="1" t="s">
        <v>30</v>
      </c>
      <c r="D551" s="1">
        <v>2</v>
      </c>
      <c r="E551" s="6">
        <v>0</v>
      </c>
      <c r="F551" s="6">
        <v>0</v>
      </c>
      <c r="G551" s="2" t="s">
        <v>15</v>
      </c>
    </row>
    <row r="552" spans="1:7" x14ac:dyDescent="0.3">
      <c r="A552" s="11"/>
      <c r="B552" s="1" t="s">
        <v>836</v>
      </c>
      <c r="C552" s="1" t="s">
        <v>65</v>
      </c>
      <c r="D552" s="1">
        <v>4</v>
      </c>
      <c r="E552" s="6">
        <v>335</v>
      </c>
      <c r="F552" s="6">
        <v>1340</v>
      </c>
      <c r="G552" s="2" t="s">
        <v>15</v>
      </c>
    </row>
    <row r="553" spans="1:7" x14ac:dyDescent="0.3">
      <c r="A553" s="11" t="s">
        <v>568</v>
      </c>
      <c r="B553" s="1" t="s">
        <v>837</v>
      </c>
      <c r="C553" s="1" t="s">
        <v>24</v>
      </c>
      <c r="D553" s="1">
        <v>5</v>
      </c>
      <c r="E553" s="6">
        <v>621</v>
      </c>
      <c r="F553" s="6">
        <v>3105</v>
      </c>
      <c r="G553" s="2" t="s">
        <v>7</v>
      </c>
    </row>
    <row r="554" spans="1:7" x14ac:dyDescent="0.3">
      <c r="A554" s="11" t="s">
        <v>228</v>
      </c>
      <c r="B554" s="1" t="s">
        <v>838</v>
      </c>
      <c r="C554" s="1" t="s">
        <v>65</v>
      </c>
      <c r="D554" s="1">
        <v>1</v>
      </c>
      <c r="E554" s="6">
        <v>355</v>
      </c>
      <c r="F554" s="6">
        <v>355</v>
      </c>
      <c r="G554" s="2" t="s">
        <v>15</v>
      </c>
    </row>
    <row r="555" spans="1:7" x14ac:dyDescent="0.3">
      <c r="A555" s="11" t="s">
        <v>153</v>
      </c>
      <c r="B555" s="1" t="s">
        <v>839</v>
      </c>
      <c r="C555" s="1" t="s">
        <v>65</v>
      </c>
      <c r="D555" s="1">
        <v>1</v>
      </c>
      <c r="E555" s="6">
        <v>280</v>
      </c>
      <c r="F555" s="6">
        <v>280</v>
      </c>
      <c r="G555" s="2" t="s">
        <v>11</v>
      </c>
    </row>
    <row r="556" spans="1:7" x14ac:dyDescent="0.3">
      <c r="A556" s="11" t="s">
        <v>150</v>
      </c>
      <c r="B556" s="1" t="s">
        <v>840</v>
      </c>
      <c r="C556" s="1" t="s">
        <v>14</v>
      </c>
      <c r="D556" s="1">
        <v>2</v>
      </c>
      <c r="E556" s="6">
        <v>354</v>
      </c>
      <c r="F556" s="6">
        <v>708</v>
      </c>
      <c r="G556" s="2" t="s">
        <v>27</v>
      </c>
    </row>
    <row r="557" spans="1:7" x14ac:dyDescent="0.3">
      <c r="A557" s="11" t="s">
        <v>168</v>
      </c>
      <c r="B557" s="1" t="s">
        <v>841</v>
      </c>
      <c r="C557" s="1"/>
      <c r="D557" s="1">
        <v>3</v>
      </c>
      <c r="E557" s="6">
        <v>839</v>
      </c>
      <c r="F557" s="6">
        <v>2517</v>
      </c>
      <c r="G557" s="2" t="s">
        <v>7</v>
      </c>
    </row>
    <row r="558" spans="1:7" x14ac:dyDescent="0.3">
      <c r="A558" s="11" t="s">
        <v>116</v>
      </c>
      <c r="B558" s="1" t="s">
        <v>842</v>
      </c>
      <c r="C558" s="1" t="s">
        <v>14</v>
      </c>
      <c r="D558" s="1" t="e">
        <v>#DIV/0!</v>
      </c>
      <c r="E558" s="6" t="e">
        <v>#DIV/0!</v>
      </c>
      <c r="F558" s="6">
        <v>690</v>
      </c>
      <c r="G558" s="2" t="s">
        <v>19</v>
      </c>
    </row>
    <row r="559" spans="1:7" x14ac:dyDescent="0.3">
      <c r="A559" s="11" t="s">
        <v>238</v>
      </c>
      <c r="B559" s="1" t="s">
        <v>843</v>
      </c>
      <c r="C559" s="1" t="s">
        <v>30</v>
      </c>
      <c r="D559" s="1">
        <v>2</v>
      </c>
      <c r="E559" s="6">
        <v>771</v>
      </c>
      <c r="F559" s="6">
        <v>1542</v>
      </c>
      <c r="G559" s="2" t="s">
        <v>15</v>
      </c>
    </row>
    <row r="560" spans="1:7" x14ac:dyDescent="0.3">
      <c r="A560" s="11" t="s">
        <v>844</v>
      </c>
      <c r="B560" s="1" t="s">
        <v>845</v>
      </c>
      <c r="C560" s="1" t="s">
        <v>65</v>
      </c>
      <c r="D560" s="1">
        <v>3</v>
      </c>
      <c r="E560" s="6">
        <v>262</v>
      </c>
      <c r="F560" s="6">
        <v>786</v>
      </c>
      <c r="G560" s="2" t="s">
        <v>7</v>
      </c>
    </row>
    <row r="561" spans="1:7" x14ac:dyDescent="0.3">
      <c r="A561" s="11" t="s">
        <v>232</v>
      </c>
      <c r="B561" s="1" t="s">
        <v>846</v>
      </c>
      <c r="C561" s="1"/>
      <c r="D561" s="1">
        <v>3</v>
      </c>
      <c r="E561" s="6">
        <v>756</v>
      </c>
      <c r="F561" s="6">
        <v>2268</v>
      </c>
      <c r="G561" s="2" t="s">
        <v>15</v>
      </c>
    </row>
    <row r="562" spans="1:7" x14ac:dyDescent="0.3">
      <c r="A562" s="11" t="s">
        <v>847</v>
      </c>
      <c r="B562" s="1" t="s">
        <v>848</v>
      </c>
      <c r="C562" s="1" t="s">
        <v>14</v>
      </c>
      <c r="D562" s="1">
        <v>3</v>
      </c>
      <c r="E562" s="6">
        <v>771</v>
      </c>
      <c r="F562" s="6">
        <v>2313</v>
      </c>
      <c r="G562" s="2" t="s">
        <v>7</v>
      </c>
    </row>
    <row r="563" spans="1:7" x14ac:dyDescent="0.3">
      <c r="A563" s="11" t="s">
        <v>849</v>
      </c>
      <c r="B563" s="1" t="s">
        <v>850</v>
      </c>
      <c r="C563" s="1" t="s">
        <v>65</v>
      </c>
      <c r="D563" s="1">
        <v>1</v>
      </c>
      <c r="E563" s="6">
        <v>550</v>
      </c>
      <c r="F563" s="6">
        <v>550</v>
      </c>
      <c r="G563" s="2" t="s">
        <v>11</v>
      </c>
    </row>
    <row r="564" spans="1:7" x14ac:dyDescent="0.3">
      <c r="A564" s="11" t="s">
        <v>434</v>
      </c>
      <c r="B564" s="1" t="s">
        <v>851</v>
      </c>
      <c r="C564" s="1" t="s">
        <v>6</v>
      </c>
      <c r="D564" s="1">
        <v>1</v>
      </c>
      <c r="E564" s="6">
        <v>374</v>
      </c>
      <c r="F564" s="6">
        <v>374</v>
      </c>
      <c r="G564" s="2" t="s">
        <v>11</v>
      </c>
    </row>
    <row r="565" spans="1:7" x14ac:dyDescent="0.3">
      <c r="A565" s="11" t="s">
        <v>407</v>
      </c>
      <c r="B565" s="1" t="s">
        <v>852</v>
      </c>
      <c r="C565" s="1"/>
      <c r="D565" s="1">
        <v>4</v>
      </c>
      <c r="E565" s="6">
        <v>541</v>
      </c>
      <c r="F565" s="6">
        <v>2164</v>
      </c>
      <c r="G565" s="2" t="s">
        <v>19</v>
      </c>
    </row>
    <row r="566" spans="1:7" x14ac:dyDescent="0.3">
      <c r="A566" s="11" t="s">
        <v>552</v>
      </c>
      <c r="B566" s="1" t="s">
        <v>853</v>
      </c>
      <c r="C566" s="1"/>
      <c r="D566" s="1">
        <v>6</v>
      </c>
      <c r="E566" s="6">
        <v>407</v>
      </c>
      <c r="F566" s="6">
        <v>2442</v>
      </c>
      <c r="G566" s="2" t="s">
        <v>33</v>
      </c>
    </row>
    <row r="567" spans="1:7" x14ac:dyDescent="0.3">
      <c r="A567" s="11"/>
      <c r="B567" s="1" t="s">
        <v>854</v>
      </c>
      <c r="C567" s="1" t="s">
        <v>14</v>
      </c>
      <c r="D567" s="1">
        <v>0</v>
      </c>
      <c r="E567" s="6">
        <v>623</v>
      </c>
      <c r="F567" s="6">
        <v>0</v>
      </c>
      <c r="G567" s="2"/>
    </row>
    <row r="568" spans="1:7" x14ac:dyDescent="0.3">
      <c r="A568" s="11" t="s">
        <v>741</v>
      </c>
      <c r="B568" s="1" t="s">
        <v>855</v>
      </c>
      <c r="C568" s="1"/>
      <c r="D568" s="1">
        <v>2</v>
      </c>
      <c r="E568" s="6">
        <v>864</v>
      </c>
      <c r="F568" s="6">
        <v>1728</v>
      </c>
      <c r="G568" s="2" t="s">
        <v>33</v>
      </c>
    </row>
    <row r="569" spans="1:7" x14ac:dyDescent="0.3">
      <c r="A569" s="11" t="s">
        <v>210</v>
      </c>
      <c r="B569" s="1" t="s">
        <v>856</v>
      </c>
      <c r="C569" s="1" t="s">
        <v>79</v>
      </c>
      <c r="D569" s="1">
        <v>2</v>
      </c>
      <c r="E569" s="6">
        <v>788</v>
      </c>
      <c r="F569" s="6">
        <v>1576</v>
      </c>
      <c r="G569" s="2" t="s">
        <v>33</v>
      </c>
    </row>
    <row r="570" spans="1:7" x14ac:dyDescent="0.3">
      <c r="A570" s="11" t="s">
        <v>289</v>
      </c>
      <c r="B570" s="1" t="s">
        <v>857</v>
      </c>
      <c r="C570" s="1" t="s">
        <v>30</v>
      </c>
      <c r="D570" s="1">
        <v>4</v>
      </c>
      <c r="E570" s="6">
        <v>0</v>
      </c>
      <c r="F570" s="6">
        <v>0</v>
      </c>
      <c r="G570" s="2" t="s">
        <v>27</v>
      </c>
    </row>
    <row r="571" spans="1:7" x14ac:dyDescent="0.3">
      <c r="A571" s="11" t="s">
        <v>177</v>
      </c>
      <c r="B571" s="1" t="s">
        <v>858</v>
      </c>
      <c r="C571" s="1" t="s">
        <v>6</v>
      </c>
      <c r="D571" s="1">
        <v>5</v>
      </c>
      <c r="E571" s="6">
        <v>344</v>
      </c>
      <c r="F571" s="6">
        <v>1720</v>
      </c>
      <c r="G571" s="2"/>
    </row>
    <row r="572" spans="1:7" x14ac:dyDescent="0.3">
      <c r="A572" s="11"/>
      <c r="B572" s="1" t="s">
        <v>859</v>
      </c>
      <c r="C572" s="1" t="s">
        <v>24</v>
      </c>
      <c r="D572" s="1">
        <v>6</v>
      </c>
      <c r="E572" s="6">
        <v>174</v>
      </c>
      <c r="F572" s="6">
        <v>1044</v>
      </c>
      <c r="G572" s="2" t="s">
        <v>19</v>
      </c>
    </row>
    <row r="573" spans="1:7" x14ac:dyDescent="0.3">
      <c r="A573" s="11" t="s">
        <v>34</v>
      </c>
      <c r="B573" s="1" t="s">
        <v>860</v>
      </c>
      <c r="C573" s="1" t="s">
        <v>24</v>
      </c>
      <c r="D573" s="1">
        <v>2</v>
      </c>
      <c r="E573" s="6">
        <v>637</v>
      </c>
      <c r="F573" s="6">
        <v>1274</v>
      </c>
      <c r="G573" s="2" t="s">
        <v>7</v>
      </c>
    </row>
    <row r="574" spans="1:7" x14ac:dyDescent="0.3">
      <c r="A574" s="11"/>
      <c r="B574" s="1" t="s">
        <v>861</v>
      </c>
      <c r="C574" s="1" t="s">
        <v>18</v>
      </c>
      <c r="D574" s="1">
        <v>5</v>
      </c>
      <c r="E574" s="6">
        <v>742</v>
      </c>
      <c r="F574" s="6">
        <v>3710</v>
      </c>
      <c r="G574" s="2" t="s">
        <v>19</v>
      </c>
    </row>
    <row r="575" spans="1:7" x14ac:dyDescent="0.3">
      <c r="A575" s="11" t="s">
        <v>647</v>
      </c>
      <c r="B575" s="1" t="s">
        <v>862</v>
      </c>
      <c r="C575" s="1" t="s">
        <v>38</v>
      </c>
      <c r="D575" s="1">
        <v>5</v>
      </c>
      <c r="E575" s="6">
        <v>606</v>
      </c>
      <c r="F575" s="6">
        <v>3030</v>
      </c>
      <c r="G575" s="2" t="s">
        <v>11</v>
      </c>
    </row>
    <row r="576" spans="1:7" x14ac:dyDescent="0.3">
      <c r="A576" s="11" t="s">
        <v>131</v>
      </c>
      <c r="B576" s="1" t="s">
        <v>863</v>
      </c>
      <c r="C576" s="1" t="s">
        <v>24</v>
      </c>
      <c r="D576" s="1">
        <v>6</v>
      </c>
      <c r="E576" s="6">
        <v>438</v>
      </c>
      <c r="F576" s="6">
        <v>2628</v>
      </c>
      <c r="G576" s="2" t="s">
        <v>33</v>
      </c>
    </row>
    <row r="577" spans="1:7" x14ac:dyDescent="0.3">
      <c r="A577" s="11"/>
      <c r="B577" s="1" t="s">
        <v>864</v>
      </c>
      <c r="C577" s="1" t="s">
        <v>18</v>
      </c>
      <c r="D577" s="1">
        <v>3</v>
      </c>
      <c r="E577" s="6">
        <v>967</v>
      </c>
      <c r="F577" s="6">
        <v>2901</v>
      </c>
      <c r="G577" s="2" t="s">
        <v>19</v>
      </c>
    </row>
    <row r="578" spans="1:7" x14ac:dyDescent="0.3">
      <c r="A578" s="11" t="s">
        <v>644</v>
      </c>
      <c r="B578" s="1" t="s">
        <v>865</v>
      </c>
      <c r="C578" s="1"/>
      <c r="D578" s="1">
        <v>1</v>
      </c>
      <c r="E578" s="6">
        <v>454</v>
      </c>
      <c r="F578" s="6">
        <v>454</v>
      </c>
      <c r="G578" s="2"/>
    </row>
    <row r="579" spans="1:7" x14ac:dyDescent="0.3">
      <c r="A579" s="11" t="s">
        <v>817</v>
      </c>
      <c r="B579" s="1" t="s">
        <v>866</v>
      </c>
      <c r="C579" s="1" t="s">
        <v>38</v>
      </c>
      <c r="D579" s="1" t="e">
        <v>#DIV/0!</v>
      </c>
      <c r="E579" s="6" t="e">
        <v>#DIV/0!</v>
      </c>
      <c r="F579" s="6">
        <v>3552</v>
      </c>
      <c r="G579" s="2" t="s">
        <v>15</v>
      </c>
    </row>
    <row r="580" spans="1:7" x14ac:dyDescent="0.3">
      <c r="A580" s="11" t="s">
        <v>608</v>
      </c>
      <c r="B580" s="1" t="s">
        <v>867</v>
      </c>
      <c r="C580" s="1" t="s">
        <v>38</v>
      </c>
      <c r="D580" s="1">
        <v>6</v>
      </c>
      <c r="E580" s="6">
        <v>403</v>
      </c>
      <c r="F580" s="6">
        <v>2418</v>
      </c>
      <c r="G580" s="2" t="s">
        <v>27</v>
      </c>
    </row>
    <row r="581" spans="1:7" x14ac:dyDescent="0.3">
      <c r="A581" s="11" t="s">
        <v>140</v>
      </c>
      <c r="B581" s="1" t="s">
        <v>868</v>
      </c>
      <c r="C581" s="1" t="s">
        <v>79</v>
      </c>
      <c r="D581" s="1">
        <v>1</v>
      </c>
      <c r="E581" s="6">
        <v>841</v>
      </c>
      <c r="F581" s="6">
        <v>841</v>
      </c>
      <c r="G581" s="2" t="s">
        <v>11</v>
      </c>
    </row>
    <row r="582" spans="1:7" x14ac:dyDescent="0.3">
      <c r="A582" s="11" t="s">
        <v>45</v>
      </c>
      <c r="B582" s="1" t="s">
        <v>869</v>
      </c>
      <c r="C582" s="1" t="s">
        <v>30</v>
      </c>
      <c r="D582" s="1">
        <v>4</v>
      </c>
      <c r="E582" s="6">
        <v>873</v>
      </c>
      <c r="F582" s="6">
        <v>3492</v>
      </c>
      <c r="G582" s="2"/>
    </row>
    <row r="583" spans="1:7" x14ac:dyDescent="0.3">
      <c r="A583" s="11" t="s">
        <v>131</v>
      </c>
      <c r="B583" s="1" t="s">
        <v>870</v>
      </c>
      <c r="C583" s="1" t="s">
        <v>65</v>
      </c>
      <c r="D583" s="1">
        <v>1</v>
      </c>
      <c r="E583" s="6">
        <v>199</v>
      </c>
      <c r="F583" s="6">
        <v>199</v>
      </c>
      <c r="G583" s="2" t="s">
        <v>7</v>
      </c>
    </row>
    <row r="584" spans="1:7" x14ac:dyDescent="0.3">
      <c r="A584" s="11" t="s">
        <v>633</v>
      </c>
      <c r="B584" s="1" t="s">
        <v>871</v>
      </c>
      <c r="C584" s="1" t="s">
        <v>38</v>
      </c>
      <c r="D584" s="1">
        <v>4</v>
      </c>
      <c r="E584" s="6">
        <v>347</v>
      </c>
      <c r="F584" s="6">
        <v>1388</v>
      </c>
      <c r="G584" s="2" t="s">
        <v>7</v>
      </c>
    </row>
    <row r="585" spans="1:7" x14ac:dyDescent="0.3">
      <c r="A585" s="11" t="s">
        <v>689</v>
      </c>
      <c r="B585" s="1" t="s">
        <v>872</v>
      </c>
      <c r="C585" s="1"/>
      <c r="D585" s="1">
        <v>1</v>
      </c>
      <c r="E585" s="6">
        <v>93</v>
      </c>
      <c r="F585" s="6">
        <v>93</v>
      </c>
      <c r="G585" s="2" t="s">
        <v>19</v>
      </c>
    </row>
    <row r="586" spans="1:7" x14ac:dyDescent="0.3">
      <c r="A586" s="11" t="s">
        <v>235</v>
      </c>
      <c r="B586" s="1" t="s">
        <v>873</v>
      </c>
      <c r="C586" s="1" t="s">
        <v>18</v>
      </c>
      <c r="D586" s="1">
        <v>3</v>
      </c>
      <c r="E586" s="6">
        <v>344</v>
      </c>
      <c r="F586" s="6">
        <v>1032</v>
      </c>
      <c r="G586" s="2" t="s">
        <v>11</v>
      </c>
    </row>
    <row r="587" spans="1:7" x14ac:dyDescent="0.3">
      <c r="A587" s="11" t="s">
        <v>552</v>
      </c>
      <c r="B587" s="1" t="s">
        <v>874</v>
      </c>
      <c r="C587" s="1" t="s">
        <v>38</v>
      </c>
      <c r="D587" s="1">
        <v>5</v>
      </c>
      <c r="E587" s="6">
        <v>781</v>
      </c>
      <c r="F587" s="6">
        <v>3905</v>
      </c>
      <c r="G587" s="2"/>
    </row>
    <row r="588" spans="1:7" x14ac:dyDescent="0.3">
      <c r="A588" s="11" t="s">
        <v>360</v>
      </c>
      <c r="B588" s="1" t="s">
        <v>875</v>
      </c>
      <c r="C588" s="1" t="s">
        <v>38</v>
      </c>
      <c r="D588" s="1">
        <v>4</v>
      </c>
      <c r="E588" s="6">
        <v>130</v>
      </c>
      <c r="F588" s="6">
        <v>520</v>
      </c>
      <c r="G588" s="2" t="s">
        <v>15</v>
      </c>
    </row>
    <row r="589" spans="1:7" x14ac:dyDescent="0.3">
      <c r="A589" s="11" t="s">
        <v>110</v>
      </c>
      <c r="B589" s="1" t="s">
        <v>876</v>
      </c>
      <c r="C589" s="1" t="s">
        <v>68</v>
      </c>
      <c r="D589" s="1">
        <v>5</v>
      </c>
      <c r="E589" s="6">
        <v>404</v>
      </c>
      <c r="F589" s="6">
        <v>2020</v>
      </c>
      <c r="G589" s="2" t="s">
        <v>27</v>
      </c>
    </row>
    <row r="590" spans="1:7" x14ac:dyDescent="0.3">
      <c r="A590" s="11" t="s">
        <v>877</v>
      </c>
      <c r="B590" s="1" t="s">
        <v>878</v>
      </c>
      <c r="C590" s="1" t="s">
        <v>10</v>
      </c>
      <c r="D590" s="1">
        <v>4</v>
      </c>
      <c r="E590" s="6">
        <v>996</v>
      </c>
      <c r="F590" s="6">
        <v>3984</v>
      </c>
      <c r="G590" s="2" t="s">
        <v>33</v>
      </c>
    </row>
    <row r="591" spans="1:7" x14ac:dyDescent="0.3">
      <c r="A591" s="11" t="s">
        <v>168</v>
      </c>
      <c r="B591" s="1" t="s">
        <v>879</v>
      </c>
      <c r="C591" s="1" t="s">
        <v>68</v>
      </c>
      <c r="D591" s="1">
        <v>6</v>
      </c>
      <c r="E591" s="6">
        <v>0</v>
      </c>
      <c r="F591" s="6">
        <v>0</v>
      </c>
      <c r="G591" s="2" t="s">
        <v>27</v>
      </c>
    </row>
    <row r="592" spans="1:7" x14ac:dyDescent="0.3">
      <c r="A592" s="11" t="s">
        <v>880</v>
      </c>
      <c r="B592" s="1" t="s">
        <v>881</v>
      </c>
      <c r="C592" s="1" t="s">
        <v>38</v>
      </c>
      <c r="D592" s="1">
        <v>6</v>
      </c>
      <c r="E592" s="6">
        <v>721</v>
      </c>
      <c r="F592" s="6">
        <v>4326</v>
      </c>
      <c r="G592" s="2" t="s">
        <v>19</v>
      </c>
    </row>
    <row r="593" spans="1:7" x14ac:dyDescent="0.3">
      <c r="A593" s="11" t="s">
        <v>326</v>
      </c>
      <c r="B593" s="1" t="s">
        <v>882</v>
      </c>
      <c r="C593" s="1" t="s">
        <v>65</v>
      </c>
      <c r="D593" s="1">
        <v>4</v>
      </c>
      <c r="E593" s="6">
        <v>312</v>
      </c>
      <c r="F593" s="6">
        <v>1248</v>
      </c>
      <c r="G593" s="2" t="s">
        <v>11</v>
      </c>
    </row>
    <row r="594" spans="1:7" x14ac:dyDescent="0.3">
      <c r="A594" s="11" t="s">
        <v>34</v>
      </c>
      <c r="B594" s="1" t="s">
        <v>883</v>
      </c>
      <c r="C594" s="1" t="s">
        <v>10</v>
      </c>
      <c r="D594" s="1">
        <v>3</v>
      </c>
      <c r="E594" s="6">
        <v>815</v>
      </c>
      <c r="F594" s="6">
        <v>2445</v>
      </c>
      <c r="G594" s="2" t="s">
        <v>15</v>
      </c>
    </row>
    <row r="595" spans="1:7" x14ac:dyDescent="0.3">
      <c r="A595" s="11" t="s">
        <v>807</v>
      </c>
      <c r="B595" s="1" t="s">
        <v>884</v>
      </c>
      <c r="C595" s="1"/>
      <c r="D595" s="1">
        <v>1</v>
      </c>
      <c r="E595" s="6">
        <v>540</v>
      </c>
      <c r="F595" s="6">
        <v>540</v>
      </c>
      <c r="G595" s="2" t="s">
        <v>11</v>
      </c>
    </row>
    <row r="596" spans="1:7" x14ac:dyDescent="0.3">
      <c r="A596" s="11" t="s">
        <v>140</v>
      </c>
      <c r="B596" s="1" t="s">
        <v>885</v>
      </c>
      <c r="C596" s="1" t="s">
        <v>14</v>
      </c>
      <c r="D596" s="1">
        <v>4</v>
      </c>
      <c r="E596" s="6">
        <v>269</v>
      </c>
      <c r="F596" s="6">
        <v>1076</v>
      </c>
      <c r="G596" s="2" t="s">
        <v>19</v>
      </c>
    </row>
    <row r="597" spans="1:7" x14ac:dyDescent="0.3">
      <c r="A597" s="11" t="s">
        <v>51</v>
      </c>
      <c r="B597" s="1" t="s">
        <v>886</v>
      </c>
      <c r="C597" s="1" t="s">
        <v>38</v>
      </c>
      <c r="D597" s="1">
        <v>1</v>
      </c>
      <c r="E597" s="6">
        <v>256</v>
      </c>
      <c r="F597" s="6">
        <v>256</v>
      </c>
      <c r="G597" s="2" t="s">
        <v>11</v>
      </c>
    </row>
    <row r="598" spans="1:7" x14ac:dyDescent="0.3">
      <c r="A598" s="11" t="s">
        <v>426</v>
      </c>
      <c r="B598" s="1" t="s">
        <v>887</v>
      </c>
      <c r="C598" s="1" t="s">
        <v>38</v>
      </c>
      <c r="D598" s="1">
        <v>3</v>
      </c>
      <c r="E598" s="6">
        <v>897</v>
      </c>
      <c r="F598" s="6">
        <v>2691</v>
      </c>
      <c r="G598" s="2"/>
    </row>
    <row r="599" spans="1:7" x14ac:dyDescent="0.3">
      <c r="A599" s="11" t="s">
        <v>257</v>
      </c>
      <c r="B599" s="1" t="s">
        <v>888</v>
      </c>
      <c r="C599" s="1" t="s">
        <v>30</v>
      </c>
      <c r="D599" s="1">
        <v>2</v>
      </c>
      <c r="E599" s="6">
        <v>601</v>
      </c>
      <c r="F599" s="6">
        <v>1202</v>
      </c>
      <c r="G599" s="2" t="s">
        <v>11</v>
      </c>
    </row>
    <row r="600" spans="1:7" x14ac:dyDescent="0.3">
      <c r="A600" s="11" t="s">
        <v>509</v>
      </c>
      <c r="B600" s="1" t="s">
        <v>889</v>
      </c>
      <c r="C600" s="1"/>
      <c r="D600" s="1">
        <v>5</v>
      </c>
      <c r="E600" s="6">
        <v>327</v>
      </c>
      <c r="F600" s="6">
        <v>1635</v>
      </c>
      <c r="G600" s="2" t="s">
        <v>19</v>
      </c>
    </row>
    <row r="601" spans="1:7" x14ac:dyDescent="0.3">
      <c r="A601" s="11" t="s">
        <v>505</v>
      </c>
      <c r="B601" s="1" t="s">
        <v>890</v>
      </c>
      <c r="C601" s="1" t="s">
        <v>68</v>
      </c>
      <c r="D601" s="1">
        <v>4</v>
      </c>
      <c r="E601" s="6">
        <v>625</v>
      </c>
      <c r="F601" s="6">
        <v>2500</v>
      </c>
      <c r="G601" s="2" t="s">
        <v>19</v>
      </c>
    </row>
    <row r="602" spans="1:7" x14ac:dyDescent="0.3">
      <c r="A602" s="11" t="s">
        <v>371</v>
      </c>
      <c r="B602" s="1" t="s">
        <v>891</v>
      </c>
      <c r="C602" s="1" t="s">
        <v>18</v>
      </c>
      <c r="D602" s="1">
        <v>6</v>
      </c>
      <c r="E602" s="6">
        <v>762</v>
      </c>
      <c r="F602" s="6">
        <v>4572</v>
      </c>
      <c r="G602" s="2" t="s">
        <v>19</v>
      </c>
    </row>
    <row r="603" spans="1:7" x14ac:dyDescent="0.3">
      <c r="A603" s="11"/>
      <c r="B603" s="1" t="s">
        <v>892</v>
      </c>
      <c r="C603" s="1" t="s">
        <v>65</v>
      </c>
      <c r="D603" s="1">
        <v>0</v>
      </c>
      <c r="E603" s="6">
        <v>328</v>
      </c>
      <c r="F603" s="6">
        <v>0</v>
      </c>
      <c r="G603" s="2"/>
    </row>
    <row r="604" spans="1:7" x14ac:dyDescent="0.3">
      <c r="A604" s="11" t="s">
        <v>652</v>
      </c>
      <c r="B604" s="1" t="s">
        <v>893</v>
      </c>
      <c r="C604" s="1" t="s">
        <v>18</v>
      </c>
      <c r="D604" s="1">
        <v>1</v>
      </c>
      <c r="E604" s="6">
        <v>190</v>
      </c>
      <c r="F604" s="6">
        <v>190</v>
      </c>
      <c r="G604" s="2"/>
    </row>
    <row r="605" spans="1:7" x14ac:dyDescent="0.3">
      <c r="A605" s="11" t="s">
        <v>894</v>
      </c>
      <c r="B605" s="1" t="s">
        <v>895</v>
      </c>
      <c r="C605" s="1" t="s">
        <v>14</v>
      </c>
      <c r="D605" s="1">
        <v>4</v>
      </c>
      <c r="E605" s="6">
        <v>161</v>
      </c>
      <c r="F605" s="6">
        <v>644</v>
      </c>
      <c r="G605" s="2" t="s">
        <v>33</v>
      </c>
    </row>
    <row r="606" spans="1:7" x14ac:dyDescent="0.3">
      <c r="A606" s="11" t="s">
        <v>472</v>
      </c>
      <c r="B606" s="1" t="s">
        <v>896</v>
      </c>
      <c r="C606" s="1" t="s">
        <v>38</v>
      </c>
      <c r="D606" s="1">
        <v>1</v>
      </c>
      <c r="E606" s="6">
        <v>680</v>
      </c>
      <c r="F606" s="6">
        <v>680</v>
      </c>
      <c r="G606" s="2" t="s">
        <v>33</v>
      </c>
    </row>
    <row r="607" spans="1:7" x14ac:dyDescent="0.3">
      <c r="A607" s="11" t="s">
        <v>179</v>
      </c>
      <c r="B607" s="1" t="s">
        <v>897</v>
      </c>
      <c r="C607" s="1" t="s">
        <v>65</v>
      </c>
      <c r="D607" s="1">
        <v>2</v>
      </c>
      <c r="E607" s="6">
        <v>808</v>
      </c>
      <c r="F607" s="6">
        <v>1616</v>
      </c>
      <c r="G607" s="2" t="s">
        <v>33</v>
      </c>
    </row>
    <row r="608" spans="1:7" x14ac:dyDescent="0.3">
      <c r="A608" s="11" t="s">
        <v>728</v>
      </c>
      <c r="B608" s="1" t="s">
        <v>898</v>
      </c>
      <c r="C608" s="1" t="s">
        <v>10</v>
      </c>
      <c r="D608" s="1">
        <v>4</v>
      </c>
      <c r="E608" s="6">
        <v>0</v>
      </c>
      <c r="F608" s="6">
        <v>0</v>
      </c>
      <c r="G608" s="2" t="s">
        <v>11</v>
      </c>
    </row>
    <row r="609" spans="1:7" x14ac:dyDescent="0.3">
      <c r="A609" s="11" t="s">
        <v>289</v>
      </c>
      <c r="B609" s="1" t="s">
        <v>899</v>
      </c>
      <c r="C609" s="1" t="s">
        <v>38</v>
      </c>
      <c r="D609" s="1">
        <v>5</v>
      </c>
      <c r="E609" s="6">
        <v>295</v>
      </c>
      <c r="F609" s="6">
        <v>1475</v>
      </c>
      <c r="G609" s="2" t="s">
        <v>27</v>
      </c>
    </row>
    <row r="610" spans="1:7" x14ac:dyDescent="0.3">
      <c r="A610" s="11" t="s">
        <v>900</v>
      </c>
      <c r="B610" s="1" t="s">
        <v>901</v>
      </c>
      <c r="C610" s="1" t="s">
        <v>79</v>
      </c>
      <c r="D610" s="1">
        <v>4</v>
      </c>
      <c r="E610" s="6">
        <v>298</v>
      </c>
      <c r="F610" s="6">
        <v>1192</v>
      </c>
      <c r="G610" s="2" t="s">
        <v>27</v>
      </c>
    </row>
    <row r="611" spans="1:7" x14ac:dyDescent="0.3">
      <c r="A611" s="11" t="s">
        <v>902</v>
      </c>
      <c r="B611" s="1" t="s">
        <v>903</v>
      </c>
      <c r="C611" s="1" t="s">
        <v>38</v>
      </c>
      <c r="D611" s="1">
        <v>5</v>
      </c>
      <c r="E611" s="6">
        <v>101</v>
      </c>
      <c r="F611" s="6">
        <v>505</v>
      </c>
      <c r="G611" s="2" t="s">
        <v>7</v>
      </c>
    </row>
    <row r="612" spans="1:7" x14ac:dyDescent="0.3">
      <c r="A612" s="11" t="s">
        <v>614</v>
      </c>
      <c r="B612" s="1" t="s">
        <v>904</v>
      </c>
      <c r="C612" s="1" t="s">
        <v>24</v>
      </c>
      <c r="D612" s="1">
        <v>1</v>
      </c>
      <c r="E612" s="6">
        <v>735</v>
      </c>
      <c r="F612" s="6">
        <v>735</v>
      </c>
      <c r="G612" s="2" t="s">
        <v>11</v>
      </c>
    </row>
    <row r="613" spans="1:7" x14ac:dyDescent="0.3">
      <c r="A613" s="11" t="s">
        <v>45</v>
      </c>
      <c r="B613" s="1" t="s">
        <v>905</v>
      </c>
      <c r="C613" s="1" t="s">
        <v>65</v>
      </c>
      <c r="D613" s="1">
        <v>4</v>
      </c>
      <c r="E613" s="6">
        <v>0</v>
      </c>
      <c r="F613" s="6">
        <v>0</v>
      </c>
      <c r="G613" s="2" t="s">
        <v>11</v>
      </c>
    </row>
    <row r="614" spans="1:7" x14ac:dyDescent="0.3">
      <c r="A614" s="11" t="s">
        <v>906</v>
      </c>
      <c r="B614" s="1" t="s">
        <v>907</v>
      </c>
      <c r="C614" s="1" t="s">
        <v>24</v>
      </c>
      <c r="D614" s="1">
        <v>3</v>
      </c>
      <c r="E614" s="6">
        <v>593</v>
      </c>
      <c r="F614" s="6">
        <v>1779</v>
      </c>
      <c r="G614" s="2" t="s">
        <v>11</v>
      </c>
    </row>
    <row r="615" spans="1:7" x14ac:dyDescent="0.3">
      <c r="A615" s="11" t="s">
        <v>908</v>
      </c>
      <c r="B615" s="1" t="s">
        <v>909</v>
      </c>
      <c r="C615" s="1" t="s">
        <v>68</v>
      </c>
      <c r="D615" s="1">
        <v>6</v>
      </c>
      <c r="E615" s="6">
        <v>281</v>
      </c>
      <c r="F615" s="6">
        <v>1686</v>
      </c>
      <c r="G615" s="2" t="s">
        <v>19</v>
      </c>
    </row>
    <row r="616" spans="1:7" x14ac:dyDescent="0.3">
      <c r="A616" s="11" t="s">
        <v>451</v>
      </c>
      <c r="B616" s="1" t="s">
        <v>910</v>
      </c>
      <c r="C616" s="1" t="s">
        <v>30</v>
      </c>
      <c r="D616" s="1">
        <v>3</v>
      </c>
      <c r="E616" s="6">
        <v>703</v>
      </c>
      <c r="F616" s="6">
        <v>2109</v>
      </c>
      <c r="G616" s="2" t="s">
        <v>33</v>
      </c>
    </row>
    <row r="617" spans="1:7" x14ac:dyDescent="0.3">
      <c r="A617" s="11" t="s">
        <v>911</v>
      </c>
      <c r="B617" s="1" t="s">
        <v>912</v>
      </c>
      <c r="C617" s="1" t="s">
        <v>10</v>
      </c>
      <c r="D617" s="1">
        <v>2</v>
      </c>
      <c r="E617" s="6">
        <v>288</v>
      </c>
      <c r="F617" s="6">
        <v>576</v>
      </c>
      <c r="G617" s="2" t="s">
        <v>15</v>
      </c>
    </row>
    <row r="618" spans="1:7" x14ac:dyDescent="0.3">
      <c r="A618" s="11" t="s">
        <v>262</v>
      </c>
      <c r="B618" s="1" t="s">
        <v>913</v>
      </c>
      <c r="C618" s="1" t="s">
        <v>38</v>
      </c>
      <c r="D618" s="1">
        <v>3</v>
      </c>
      <c r="E618" s="6">
        <v>103</v>
      </c>
      <c r="F618" s="6">
        <v>309</v>
      </c>
      <c r="G618" s="2" t="s">
        <v>19</v>
      </c>
    </row>
    <row r="619" spans="1:7" x14ac:dyDescent="0.3">
      <c r="A619" s="11"/>
      <c r="B619" s="1" t="s">
        <v>914</v>
      </c>
      <c r="C619" s="1" t="s">
        <v>68</v>
      </c>
      <c r="D619" s="1">
        <v>2</v>
      </c>
      <c r="E619" s="6">
        <v>152</v>
      </c>
      <c r="F619" s="6">
        <v>304</v>
      </c>
      <c r="G619" s="2" t="s">
        <v>11</v>
      </c>
    </row>
    <row r="620" spans="1:7" x14ac:dyDescent="0.3">
      <c r="A620" s="11"/>
      <c r="B620" s="1" t="s">
        <v>915</v>
      </c>
      <c r="C620" s="1" t="s">
        <v>68</v>
      </c>
      <c r="D620" s="1">
        <v>1</v>
      </c>
      <c r="E620" s="6">
        <v>473</v>
      </c>
      <c r="F620" s="6">
        <v>473</v>
      </c>
      <c r="G620" s="2" t="s">
        <v>7</v>
      </c>
    </row>
    <row r="621" spans="1:7" x14ac:dyDescent="0.3">
      <c r="A621" s="11"/>
      <c r="B621" s="1" t="s">
        <v>916</v>
      </c>
      <c r="C621" s="1" t="s">
        <v>10</v>
      </c>
      <c r="D621" s="1">
        <v>5</v>
      </c>
      <c r="E621" s="6">
        <v>388</v>
      </c>
      <c r="F621" s="6">
        <v>1940</v>
      </c>
      <c r="G621" s="2" t="s">
        <v>11</v>
      </c>
    </row>
    <row r="622" spans="1:7" x14ac:dyDescent="0.3">
      <c r="A622" s="11" t="s">
        <v>535</v>
      </c>
      <c r="B622" s="1" t="s">
        <v>917</v>
      </c>
      <c r="C622" s="1" t="s">
        <v>6</v>
      </c>
      <c r="D622" s="1">
        <v>6</v>
      </c>
      <c r="E622" s="6">
        <v>784</v>
      </c>
      <c r="F622" s="6">
        <v>4704</v>
      </c>
      <c r="G622" s="2" t="s">
        <v>11</v>
      </c>
    </row>
    <row r="623" spans="1:7" x14ac:dyDescent="0.3">
      <c r="A623" s="11" t="s">
        <v>138</v>
      </c>
      <c r="B623" s="1" t="s">
        <v>918</v>
      </c>
      <c r="C623" s="1" t="s">
        <v>38</v>
      </c>
      <c r="D623" s="1">
        <v>1</v>
      </c>
      <c r="E623" s="6">
        <v>533</v>
      </c>
      <c r="F623" s="6">
        <v>533</v>
      </c>
      <c r="G623" s="2" t="s">
        <v>15</v>
      </c>
    </row>
    <row r="624" spans="1:7" x14ac:dyDescent="0.3">
      <c r="A624" s="11" t="s">
        <v>728</v>
      </c>
      <c r="B624" s="1" t="s">
        <v>919</v>
      </c>
      <c r="C624" s="1" t="s">
        <v>24</v>
      </c>
      <c r="D624" s="1">
        <v>5</v>
      </c>
      <c r="E624" s="6">
        <v>152</v>
      </c>
      <c r="F624" s="6">
        <v>760</v>
      </c>
      <c r="G624" s="2" t="s">
        <v>11</v>
      </c>
    </row>
    <row r="625" spans="1:7" x14ac:dyDescent="0.3">
      <c r="A625" s="11" t="s">
        <v>920</v>
      </c>
      <c r="B625" s="1" t="s">
        <v>921</v>
      </c>
      <c r="C625" s="1" t="s">
        <v>65</v>
      </c>
      <c r="D625" s="1">
        <v>5</v>
      </c>
      <c r="E625" s="6">
        <v>747</v>
      </c>
      <c r="F625" s="6">
        <v>3735</v>
      </c>
      <c r="G625" s="2"/>
    </row>
    <row r="626" spans="1:7" x14ac:dyDescent="0.3">
      <c r="A626" s="11" t="s">
        <v>568</v>
      </c>
      <c r="B626" s="1" t="s">
        <v>922</v>
      </c>
      <c r="C626" s="1" t="s">
        <v>24</v>
      </c>
      <c r="D626" s="1">
        <v>2</v>
      </c>
      <c r="E626" s="6">
        <v>839</v>
      </c>
      <c r="F626" s="6">
        <v>1678</v>
      </c>
      <c r="G626" s="2" t="s">
        <v>27</v>
      </c>
    </row>
    <row r="627" spans="1:7" x14ac:dyDescent="0.3">
      <c r="A627" s="11" t="s">
        <v>343</v>
      </c>
      <c r="B627" s="1" t="s">
        <v>923</v>
      </c>
      <c r="C627" s="1" t="s">
        <v>10</v>
      </c>
      <c r="D627" s="1">
        <v>3</v>
      </c>
      <c r="E627" s="6">
        <v>190</v>
      </c>
      <c r="F627" s="6">
        <v>570</v>
      </c>
      <c r="G627" s="2" t="s">
        <v>15</v>
      </c>
    </row>
    <row r="628" spans="1:7" x14ac:dyDescent="0.3">
      <c r="A628" s="11" t="s">
        <v>924</v>
      </c>
      <c r="B628" s="1" t="s">
        <v>925</v>
      </c>
      <c r="C628" s="1" t="s">
        <v>14</v>
      </c>
      <c r="D628" s="1">
        <v>3</v>
      </c>
      <c r="E628" s="6">
        <v>55</v>
      </c>
      <c r="F628" s="6">
        <v>165</v>
      </c>
      <c r="G628" s="2" t="s">
        <v>33</v>
      </c>
    </row>
    <row r="629" spans="1:7" x14ac:dyDescent="0.3">
      <c r="A629" s="11" t="s">
        <v>259</v>
      </c>
      <c r="B629" s="1" t="s">
        <v>926</v>
      </c>
      <c r="C629" s="1" t="s">
        <v>38</v>
      </c>
      <c r="D629" s="1">
        <v>6</v>
      </c>
      <c r="E629" s="6">
        <v>613</v>
      </c>
      <c r="F629" s="6">
        <v>3678</v>
      </c>
      <c r="G629" s="2" t="s">
        <v>15</v>
      </c>
    </row>
    <row r="630" spans="1:7" x14ac:dyDescent="0.3">
      <c r="A630" s="11" t="s">
        <v>776</v>
      </c>
      <c r="B630" s="1" t="s">
        <v>927</v>
      </c>
      <c r="C630" s="1" t="s">
        <v>79</v>
      </c>
      <c r="D630" s="1">
        <v>0</v>
      </c>
      <c r="E630" s="6">
        <v>211</v>
      </c>
      <c r="F630" s="6">
        <v>0</v>
      </c>
      <c r="G630" s="2" t="s">
        <v>15</v>
      </c>
    </row>
    <row r="631" spans="1:7" x14ac:dyDescent="0.3">
      <c r="A631" s="11" t="s">
        <v>271</v>
      </c>
      <c r="B631" s="1" t="s">
        <v>473</v>
      </c>
      <c r="C631" s="1" t="s">
        <v>18</v>
      </c>
      <c r="D631" s="1">
        <v>2</v>
      </c>
      <c r="E631" s="6">
        <v>466</v>
      </c>
      <c r="F631" s="6">
        <v>932</v>
      </c>
      <c r="G631" s="2" t="s">
        <v>11</v>
      </c>
    </row>
    <row r="632" spans="1:7" x14ac:dyDescent="0.3">
      <c r="A632" s="11" t="s">
        <v>189</v>
      </c>
      <c r="B632" s="1" t="s">
        <v>928</v>
      </c>
      <c r="C632" s="1" t="s">
        <v>65</v>
      </c>
      <c r="D632" s="1">
        <v>2</v>
      </c>
      <c r="E632" s="6">
        <v>718</v>
      </c>
      <c r="F632" s="6">
        <v>1436</v>
      </c>
      <c r="G632" s="2" t="s">
        <v>15</v>
      </c>
    </row>
    <row r="633" spans="1:7" x14ac:dyDescent="0.3">
      <c r="A633" s="11" t="s">
        <v>158</v>
      </c>
      <c r="B633" s="1" t="s">
        <v>929</v>
      </c>
      <c r="C633" s="1"/>
      <c r="D633" s="1">
        <v>1</v>
      </c>
      <c r="E633" s="6">
        <v>951</v>
      </c>
      <c r="F633" s="6">
        <v>951</v>
      </c>
      <c r="G633" s="2" t="s">
        <v>33</v>
      </c>
    </row>
    <row r="634" spans="1:7" x14ac:dyDescent="0.3">
      <c r="A634" s="11" t="s">
        <v>930</v>
      </c>
      <c r="B634" s="1" t="s">
        <v>931</v>
      </c>
      <c r="C634" s="1"/>
      <c r="D634" s="1">
        <v>2</v>
      </c>
      <c r="E634" s="6">
        <v>949</v>
      </c>
      <c r="F634" s="6">
        <v>1898</v>
      </c>
      <c r="G634" s="2" t="s">
        <v>15</v>
      </c>
    </row>
    <row r="635" spans="1:7" x14ac:dyDescent="0.3">
      <c r="A635" s="11" t="s">
        <v>717</v>
      </c>
      <c r="B635" s="1" t="s">
        <v>932</v>
      </c>
      <c r="C635" s="1" t="s">
        <v>38</v>
      </c>
      <c r="D635" s="1">
        <v>3</v>
      </c>
      <c r="E635" s="6">
        <v>537</v>
      </c>
      <c r="F635" s="6">
        <v>1611</v>
      </c>
      <c r="G635" s="2"/>
    </row>
    <row r="636" spans="1:7" x14ac:dyDescent="0.3">
      <c r="A636" s="11" t="s">
        <v>283</v>
      </c>
      <c r="B636" s="1" t="s">
        <v>933</v>
      </c>
      <c r="C636" s="1" t="s">
        <v>14</v>
      </c>
      <c r="D636" s="1">
        <v>0</v>
      </c>
      <c r="E636" s="6">
        <v>538</v>
      </c>
      <c r="F636" s="6">
        <v>0</v>
      </c>
      <c r="G636" s="2" t="s">
        <v>7</v>
      </c>
    </row>
    <row r="637" spans="1:7" x14ac:dyDescent="0.3">
      <c r="A637" s="11" t="s">
        <v>228</v>
      </c>
      <c r="B637" s="1" t="s">
        <v>934</v>
      </c>
      <c r="C637" s="1" t="s">
        <v>38</v>
      </c>
      <c r="D637" s="1">
        <v>2</v>
      </c>
      <c r="E637" s="6">
        <v>716</v>
      </c>
      <c r="F637" s="6">
        <v>1432</v>
      </c>
      <c r="G637" s="2" t="s">
        <v>19</v>
      </c>
    </row>
    <row r="638" spans="1:7" x14ac:dyDescent="0.3">
      <c r="A638" s="11" t="s">
        <v>935</v>
      </c>
      <c r="B638" s="1" t="s">
        <v>936</v>
      </c>
      <c r="C638" s="1" t="s">
        <v>14</v>
      </c>
      <c r="D638" s="1">
        <v>5</v>
      </c>
      <c r="E638" s="6">
        <v>254</v>
      </c>
      <c r="F638" s="6">
        <v>1270</v>
      </c>
      <c r="G638" s="2" t="s">
        <v>19</v>
      </c>
    </row>
    <row r="639" spans="1:7" x14ac:dyDescent="0.3">
      <c r="A639" s="11" t="s">
        <v>302</v>
      </c>
      <c r="B639" s="1" t="s">
        <v>937</v>
      </c>
      <c r="C639" s="1" t="s">
        <v>6</v>
      </c>
      <c r="D639" s="1">
        <v>2</v>
      </c>
      <c r="E639" s="6">
        <v>824</v>
      </c>
      <c r="F639" s="6">
        <v>1648</v>
      </c>
      <c r="G639" s="2" t="s">
        <v>7</v>
      </c>
    </row>
    <row r="640" spans="1:7" x14ac:dyDescent="0.3">
      <c r="A640" s="11" t="s">
        <v>200</v>
      </c>
      <c r="B640" s="1" t="s">
        <v>938</v>
      </c>
      <c r="C640" s="1" t="s">
        <v>65</v>
      </c>
      <c r="D640" s="1">
        <v>6</v>
      </c>
      <c r="E640" s="6">
        <v>344</v>
      </c>
      <c r="F640" s="6">
        <v>2064</v>
      </c>
      <c r="G640" s="2"/>
    </row>
    <row r="641" spans="1:7" x14ac:dyDescent="0.3">
      <c r="A641" s="11" t="s">
        <v>939</v>
      </c>
      <c r="B641" s="1" t="s">
        <v>940</v>
      </c>
      <c r="C641" s="1" t="s">
        <v>10</v>
      </c>
      <c r="D641" s="1">
        <v>1</v>
      </c>
      <c r="E641" s="6">
        <v>378</v>
      </c>
      <c r="F641" s="6">
        <v>378</v>
      </c>
      <c r="G641" s="2" t="s">
        <v>15</v>
      </c>
    </row>
    <row r="642" spans="1:7" x14ac:dyDescent="0.3">
      <c r="A642" s="11" t="s">
        <v>312</v>
      </c>
      <c r="B642" s="1" t="s">
        <v>941</v>
      </c>
      <c r="C642" s="1" t="s">
        <v>30</v>
      </c>
      <c r="D642" s="1">
        <v>2</v>
      </c>
      <c r="E642" s="6">
        <v>342</v>
      </c>
      <c r="F642" s="6">
        <v>684</v>
      </c>
      <c r="G642" s="2" t="s">
        <v>19</v>
      </c>
    </row>
    <row r="643" spans="1:7" x14ac:dyDescent="0.3">
      <c r="A643" s="11" t="s">
        <v>714</v>
      </c>
      <c r="B643" s="1" t="s">
        <v>942</v>
      </c>
      <c r="C643" s="1" t="s">
        <v>10</v>
      </c>
      <c r="D643" s="1">
        <v>6</v>
      </c>
      <c r="E643" s="6">
        <v>711</v>
      </c>
      <c r="F643" s="6">
        <v>4266</v>
      </c>
      <c r="G643" s="2" t="s">
        <v>11</v>
      </c>
    </row>
    <row r="644" spans="1:7" x14ac:dyDescent="0.3">
      <c r="A644" s="11" t="s">
        <v>328</v>
      </c>
      <c r="B644" s="1" t="s">
        <v>943</v>
      </c>
      <c r="C644" s="1" t="s">
        <v>79</v>
      </c>
      <c r="D644" s="1">
        <v>4</v>
      </c>
      <c r="E644" s="6">
        <v>110</v>
      </c>
      <c r="F644" s="6">
        <v>440</v>
      </c>
      <c r="G644" s="2" t="s">
        <v>27</v>
      </c>
    </row>
    <row r="645" spans="1:7" x14ac:dyDescent="0.3">
      <c r="A645" s="11" t="s">
        <v>146</v>
      </c>
      <c r="B645" s="1" t="s">
        <v>944</v>
      </c>
      <c r="C645" s="1" t="s">
        <v>18</v>
      </c>
      <c r="D645" s="1">
        <v>4</v>
      </c>
      <c r="E645" s="6">
        <v>979</v>
      </c>
      <c r="F645" s="6">
        <v>3916</v>
      </c>
      <c r="G645" s="2" t="s">
        <v>27</v>
      </c>
    </row>
    <row r="646" spans="1:7" x14ac:dyDescent="0.3">
      <c r="A646" s="11" t="s">
        <v>253</v>
      </c>
      <c r="B646" s="1" t="s">
        <v>945</v>
      </c>
      <c r="C646" s="1" t="s">
        <v>6</v>
      </c>
      <c r="D646" s="1">
        <v>5</v>
      </c>
      <c r="E646" s="6">
        <v>837</v>
      </c>
      <c r="F646" s="6">
        <v>4185</v>
      </c>
      <c r="G646" s="2" t="s">
        <v>27</v>
      </c>
    </row>
    <row r="647" spans="1:7" x14ac:dyDescent="0.3">
      <c r="A647" s="11" t="s">
        <v>629</v>
      </c>
      <c r="B647" s="1" t="s">
        <v>946</v>
      </c>
      <c r="C647" s="1"/>
      <c r="D647" s="1">
        <v>5</v>
      </c>
      <c r="E647" s="6">
        <v>141</v>
      </c>
      <c r="F647" s="6">
        <v>705</v>
      </c>
      <c r="G647" s="2" t="s">
        <v>19</v>
      </c>
    </row>
    <row r="648" spans="1:7" x14ac:dyDescent="0.3">
      <c r="A648" s="11" t="s">
        <v>947</v>
      </c>
      <c r="B648" s="1" t="s">
        <v>948</v>
      </c>
      <c r="C648" s="1" t="s">
        <v>10</v>
      </c>
      <c r="D648" s="1">
        <v>4</v>
      </c>
      <c r="E648" s="6">
        <v>717</v>
      </c>
      <c r="F648" s="6">
        <v>2868</v>
      </c>
      <c r="G648" s="2" t="s">
        <v>33</v>
      </c>
    </row>
    <row r="649" spans="1:7" x14ac:dyDescent="0.3">
      <c r="A649" s="11" t="s">
        <v>561</v>
      </c>
      <c r="B649" s="1" t="s">
        <v>949</v>
      </c>
      <c r="C649" s="1" t="s">
        <v>18</v>
      </c>
      <c r="D649" s="1">
        <v>6</v>
      </c>
      <c r="E649" s="6">
        <v>637</v>
      </c>
      <c r="F649" s="6">
        <v>3822</v>
      </c>
      <c r="G649" s="2" t="s">
        <v>7</v>
      </c>
    </row>
    <row r="650" spans="1:7" x14ac:dyDescent="0.3">
      <c r="A650" s="11" t="s">
        <v>162</v>
      </c>
      <c r="B650" s="1" t="s">
        <v>950</v>
      </c>
      <c r="C650" s="1" t="s">
        <v>18</v>
      </c>
      <c r="D650" s="1">
        <v>5</v>
      </c>
      <c r="E650" s="6">
        <v>287</v>
      </c>
      <c r="F650" s="6">
        <v>1435</v>
      </c>
      <c r="G650" s="2" t="s">
        <v>15</v>
      </c>
    </row>
    <row r="651" spans="1:7" x14ac:dyDescent="0.3">
      <c r="A651" s="11" t="s">
        <v>503</v>
      </c>
      <c r="B651" s="1" t="s">
        <v>951</v>
      </c>
      <c r="C651" s="1" t="s">
        <v>10</v>
      </c>
      <c r="D651" s="1" t="e">
        <v>#DIV/0!</v>
      </c>
      <c r="E651" s="6" t="e">
        <v>#DIV/0!</v>
      </c>
      <c r="F651" s="6">
        <v>3582</v>
      </c>
      <c r="G651" s="2" t="s">
        <v>15</v>
      </c>
    </row>
    <row r="652" spans="1:7" x14ac:dyDescent="0.3">
      <c r="A652" s="11" t="s">
        <v>554</v>
      </c>
      <c r="B652" s="1" t="s">
        <v>952</v>
      </c>
      <c r="C652" s="1" t="s">
        <v>68</v>
      </c>
      <c r="D652" s="1">
        <v>6</v>
      </c>
      <c r="E652" s="6">
        <v>806</v>
      </c>
      <c r="F652" s="6">
        <v>4836</v>
      </c>
      <c r="G652" s="2" t="s">
        <v>27</v>
      </c>
    </row>
    <row r="653" spans="1:7" x14ac:dyDescent="0.3">
      <c r="A653" s="11" t="s">
        <v>241</v>
      </c>
      <c r="B653" s="1" t="s">
        <v>953</v>
      </c>
      <c r="C653" s="1" t="s">
        <v>24</v>
      </c>
      <c r="D653" s="1">
        <v>5</v>
      </c>
      <c r="E653" s="6">
        <v>790</v>
      </c>
      <c r="F653" s="6">
        <v>3950</v>
      </c>
      <c r="G653" s="2" t="s">
        <v>15</v>
      </c>
    </row>
    <row r="654" spans="1:7" x14ac:dyDescent="0.3">
      <c r="A654" s="11" t="s">
        <v>247</v>
      </c>
      <c r="B654" s="1" t="s">
        <v>954</v>
      </c>
      <c r="C654" s="1" t="s">
        <v>18</v>
      </c>
      <c r="D654" s="1">
        <v>3</v>
      </c>
      <c r="E654" s="6">
        <v>920</v>
      </c>
      <c r="F654" s="6">
        <v>2760</v>
      </c>
      <c r="G654" s="2" t="s">
        <v>11</v>
      </c>
    </row>
    <row r="655" spans="1:7" x14ac:dyDescent="0.3">
      <c r="A655" s="11" t="s">
        <v>955</v>
      </c>
      <c r="B655" s="1" t="s">
        <v>956</v>
      </c>
      <c r="C655" s="1"/>
      <c r="D655" s="1">
        <v>6</v>
      </c>
      <c r="E655" s="6">
        <v>88</v>
      </c>
      <c r="F655" s="6">
        <v>528</v>
      </c>
      <c r="G655" s="2" t="s">
        <v>11</v>
      </c>
    </row>
    <row r="656" spans="1:7" x14ac:dyDescent="0.3">
      <c r="A656" s="11" t="s">
        <v>181</v>
      </c>
      <c r="B656" s="1" t="s">
        <v>957</v>
      </c>
      <c r="C656" s="1" t="s">
        <v>65</v>
      </c>
      <c r="D656" s="1">
        <v>3</v>
      </c>
      <c r="E656" s="6">
        <v>985</v>
      </c>
      <c r="F656" s="6">
        <v>2955</v>
      </c>
      <c r="G656" s="2" t="s">
        <v>7</v>
      </c>
    </row>
    <row r="657" spans="1:7" x14ac:dyDescent="0.3">
      <c r="A657" s="11" t="s">
        <v>668</v>
      </c>
      <c r="B657" s="1" t="s">
        <v>958</v>
      </c>
      <c r="C657" s="1" t="s">
        <v>6</v>
      </c>
      <c r="D657" s="1">
        <v>2</v>
      </c>
      <c r="E657" s="6">
        <v>993</v>
      </c>
      <c r="F657" s="6">
        <v>1986</v>
      </c>
      <c r="G657" s="2" t="s">
        <v>15</v>
      </c>
    </row>
    <row r="658" spans="1:7" x14ac:dyDescent="0.3">
      <c r="A658" s="11" t="s">
        <v>959</v>
      </c>
      <c r="B658" s="1" t="s">
        <v>960</v>
      </c>
      <c r="C658" s="1" t="s">
        <v>68</v>
      </c>
      <c r="D658" s="1">
        <v>4</v>
      </c>
      <c r="E658" s="6">
        <v>229</v>
      </c>
      <c r="F658" s="6">
        <v>916</v>
      </c>
      <c r="G658" s="2" t="s">
        <v>19</v>
      </c>
    </row>
    <row r="659" spans="1:7" x14ac:dyDescent="0.3">
      <c r="A659" s="11" t="s">
        <v>668</v>
      </c>
      <c r="B659" s="1" t="s">
        <v>961</v>
      </c>
      <c r="C659" s="1"/>
      <c r="D659" s="1">
        <v>1</v>
      </c>
      <c r="E659" s="6">
        <v>477</v>
      </c>
      <c r="F659" s="6">
        <v>477</v>
      </c>
      <c r="G659" s="2" t="s">
        <v>15</v>
      </c>
    </row>
    <row r="660" spans="1:7" x14ac:dyDescent="0.3">
      <c r="A660" s="11"/>
      <c r="B660" s="1" t="s">
        <v>962</v>
      </c>
      <c r="C660" s="1" t="s">
        <v>65</v>
      </c>
      <c r="D660" s="1">
        <v>4</v>
      </c>
      <c r="E660" s="6">
        <v>953</v>
      </c>
      <c r="F660" s="6">
        <v>3812</v>
      </c>
      <c r="G660" s="2" t="s">
        <v>19</v>
      </c>
    </row>
    <row r="661" spans="1:7" x14ac:dyDescent="0.3">
      <c r="A661" s="11" t="s">
        <v>963</v>
      </c>
      <c r="B661" s="1" t="s">
        <v>964</v>
      </c>
      <c r="C661" s="1" t="s">
        <v>14</v>
      </c>
      <c r="D661" s="1">
        <v>4</v>
      </c>
      <c r="E661" s="6">
        <v>907</v>
      </c>
      <c r="F661" s="6">
        <v>3628</v>
      </c>
      <c r="G661" s="2" t="s">
        <v>33</v>
      </c>
    </row>
    <row r="662" spans="1:7" x14ac:dyDescent="0.3">
      <c r="A662" s="11" t="s">
        <v>110</v>
      </c>
      <c r="B662" s="1" t="s">
        <v>965</v>
      </c>
      <c r="C662" s="1" t="s">
        <v>79</v>
      </c>
      <c r="D662" s="1" t="e">
        <v>#DIV/0!</v>
      </c>
      <c r="E662" s="6" t="e">
        <v>#DIV/0!</v>
      </c>
      <c r="F662" s="6" t="e">
        <v>#DIV/0!</v>
      </c>
      <c r="G662" s="2" t="s">
        <v>27</v>
      </c>
    </row>
    <row r="663" spans="1:7" x14ac:dyDescent="0.3">
      <c r="A663" s="11" t="s">
        <v>208</v>
      </c>
      <c r="B663" s="1" t="s">
        <v>966</v>
      </c>
      <c r="C663" s="1" t="s">
        <v>24</v>
      </c>
      <c r="D663" s="1">
        <v>3</v>
      </c>
      <c r="E663" s="6">
        <v>991</v>
      </c>
      <c r="F663" s="6">
        <v>2973</v>
      </c>
      <c r="G663" s="2" t="s">
        <v>19</v>
      </c>
    </row>
    <row r="664" spans="1:7" x14ac:dyDescent="0.3">
      <c r="A664" s="11"/>
      <c r="B664" s="1" t="s">
        <v>967</v>
      </c>
      <c r="C664" s="1" t="s">
        <v>68</v>
      </c>
      <c r="D664" s="1">
        <v>3</v>
      </c>
      <c r="E664" s="6">
        <v>87</v>
      </c>
      <c r="F664" s="6">
        <v>261</v>
      </c>
      <c r="G664" s="2" t="s">
        <v>33</v>
      </c>
    </row>
    <row r="665" spans="1:7" x14ac:dyDescent="0.3">
      <c r="A665" s="11" t="s">
        <v>221</v>
      </c>
      <c r="B665" s="1" t="s">
        <v>968</v>
      </c>
      <c r="C665" s="1" t="s">
        <v>68</v>
      </c>
      <c r="D665" s="1">
        <v>5</v>
      </c>
      <c r="E665" s="6">
        <v>906</v>
      </c>
      <c r="F665" s="6">
        <v>4530</v>
      </c>
      <c r="G665" s="2" t="s">
        <v>27</v>
      </c>
    </row>
    <row r="666" spans="1:7" x14ac:dyDescent="0.3">
      <c r="A666" s="11"/>
      <c r="B666" s="1" t="s">
        <v>969</v>
      </c>
      <c r="C666" s="1" t="s">
        <v>6</v>
      </c>
      <c r="D666" s="1">
        <v>1</v>
      </c>
      <c r="E666" s="6">
        <v>456</v>
      </c>
      <c r="F666" s="6">
        <v>456</v>
      </c>
      <c r="G666" s="2" t="s">
        <v>11</v>
      </c>
    </row>
    <row r="667" spans="1:7" x14ac:dyDescent="0.3">
      <c r="A667" s="11" t="s">
        <v>528</v>
      </c>
      <c r="B667" s="1" t="s">
        <v>970</v>
      </c>
      <c r="C667" s="1" t="s">
        <v>24</v>
      </c>
      <c r="D667" s="1">
        <v>3</v>
      </c>
      <c r="E667" s="6">
        <v>856</v>
      </c>
      <c r="F667" s="6">
        <v>2568</v>
      </c>
      <c r="G667" s="2" t="s">
        <v>15</v>
      </c>
    </row>
    <row r="668" spans="1:7" x14ac:dyDescent="0.3">
      <c r="A668" s="11" t="s">
        <v>83</v>
      </c>
      <c r="B668" s="1" t="s">
        <v>971</v>
      </c>
      <c r="C668" s="1" t="s">
        <v>14</v>
      </c>
      <c r="D668" s="1">
        <v>5</v>
      </c>
      <c r="E668" s="6">
        <v>557</v>
      </c>
      <c r="F668" s="6">
        <v>2785</v>
      </c>
      <c r="G668" s="2" t="s">
        <v>33</v>
      </c>
    </row>
    <row r="669" spans="1:7" x14ac:dyDescent="0.3">
      <c r="A669" s="11" t="s">
        <v>221</v>
      </c>
      <c r="B669" s="1" t="s">
        <v>972</v>
      </c>
      <c r="C669" s="1" t="s">
        <v>6</v>
      </c>
      <c r="D669" s="1">
        <v>1</v>
      </c>
      <c r="E669" s="6">
        <v>240</v>
      </c>
      <c r="F669" s="6">
        <v>240</v>
      </c>
      <c r="G669" s="2" t="s">
        <v>7</v>
      </c>
    </row>
    <row r="670" spans="1:7" x14ac:dyDescent="0.3">
      <c r="A670" s="11" t="s">
        <v>973</v>
      </c>
      <c r="B670" s="1" t="s">
        <v>974</v>
      </c>
      <c r="C670" s="1" t="s">
        <v>68</v>
      </c>
      <c r="D670" s="1">
        <v>3</v>
      </c>
      <c r="E670" s="6">
        <v>816</v>
      </c>
      <c r="F670" s="6">
        <v>2448</v>
      </c>
      <c r="G670" s="2" t="s">
        <v>15</v>
      </c>
    </row>
    <row r="671" spans="1:7" x14ac:dyDescent="0.3">
      <c r="A671" s="11" t="s">
        <v>880</v>
      </c>
      <c r="B671" s="1" t="s">
        <v>975</v>
      </c>
      <c r="C671" s="1" t="s">
        <v>10</v>
      </c>
      <c r="D671" s="1">
        <v>4</v>
      </c>
      <c r="E671" s="6">
        <v>943</v>
      </c>
      <c r="F671" s="6">
        <v>3772</v>
      </c>
      <c r="G671" s="2" t="s">
        <v>27</v>
      </c>
    </row>
    <row r="672" spans="1:7" x14ac:dyDescent="0.3">
      <c r="A672" s="11" t="s">
        <v>59</v>
      </c>
      <c r="B672" s="1" t="s">
        <v>976</v>
      </c>
      <c r="C672" s="1"/>
      <c r="D672" s="1">
        <v>4</v>
      </c>
      <c r="E672" s="6">
        <v>998</v>
      </c>
      <c r="F672" s="6">
        <v>3992</v>
      </c>
      <c r="G672" s="2"/>
    </row>
    <row r="673" spans="1:7" x14ac:dyDescent="0.3">
      <c r="A673" s="11" t="s">
        <v>184</v>
      </c>
      <c r="B673" s="1" t="s">
        <v>977</v>
      </c>
      <c r="C673" s="1" t="s">
        <v>68</v>
      </c>
      <c r="D673" s="1">
        <v>1</v>
      </c>
      <c r="E673" s="6">
        <v>346</v>
      </c>
      <c r="F673" s="6">
        <v>346</v>
      </c>
      <c r="G673" s="2" t="s">
        <v>7</v>
      </c>
    </row>
    <row r="674" spans="1:7" x14ac:dyDescent="0.3">
      <c r="A674" s="11" t="s">
        <v>908</v>
      </c>
      <c r="B674" s="1" t="s">
        <v>978</v>
      </c>
      <c r="C674" s="1" t="s">
        <v>38</v>
      </c>
      <c r="D674" s="1">
        <v>1</v>
      </c>
      <c r="E674" s="6">
        <v>947</v>
      </c>
      <c r="F674" s="6">
        <v>947</v>
      </c>
      <c r="G674" s="2" t="s">
        <v>27</v>
      </c>
    </row>
    <row r="675" spans="1:7" x14ac:dyDescent="0.3">
      <c r="A675" s="11" t="s">
        <v>979</v>
      </c>
      <c r="B675" s="1" t="s">
        <v>980</v>
      </c>
      <c r="C675" s="1" t="s">
        <v>38</v>
      </c>
      <c r="D675" s="1" t="e">
        <v>#DIV/0!</v>
      </c>
      <c r="E675" s="6" t="e">
        <v>#DIV/0!</v>
      </c>
      <c r="F675" s="6" t="e">
        <v>#DIV/0!</v>
      </c>
      <c r="G675" s="2" t="s">
        <v>27</v>
      </c>
    </row>
    <row r="676" spans="1:7" x14ac:dyDescent="0.3">
      <c r="A676" s="11" t="s">
        <v>228</v>
      </c>
      <c r="B676" s="1" t="s">
        <v>981</v>
      </c>
      <c r="C676" s="1" t="s">
        <v>18</v>
      </c>
      <c r="D676" s="1">
        <v>3</v>
      </c>
      <c r="E676" s="6">
        <v>59</v>
      </c>
      <c r="F676" s="6">
        <v>177</v>
      </c>
      <c r="G676" s="2" t="s">
        <v>7</v>
      </c>
    </row>
    <row r="677" spans="1:7" x14ac:dyDescent="0.3">
      <c r="A677" s="11" t="s">
        <v>245</v>
      </c>
      <c r="B677" s="1" t="s">
        <v>982</v>
      </c>
      <c r="C677" s="1"/>
      <c r="D677" s="1">
        <v>1</v>
      </c>
      <c r="E677" s="6">
        <v>355</v>
      </c>
      <c r="F677" s="6">
        <v>355</v>
      </c>
      <c r="G677" s="2" t="s">
        <v>15</v>
      </c>
    </row>
    <row r="678" spans="1:7" x14ac:dyDescent="0.3">
      <c r="A678" s="11" t="s">
        <v>296</v>
      </c>
      <c r="B678" s="1" t="s">
        <v>983</v>
      </c>
      <c r="C678" s="1" t="s">
        <v>68</v>
      </c>
      <c r="D678" s="1">
        <v>6</v>
      </c>
      <c r="E678" s="6">
        <v>631</v>
      </c>
      <c r="F678" s="6">
        <v>3786</v>
      </c>
      <c r="G678" s="2" t="s">
        <v>7</v>
      </c>
    </row>
    <row r="679" spans="1:7" x14ac:dyDescent="0.3">
      <c r="A679" s="11" t="s">
        <v>483</v>
      </c>
      <c r="B679" s="1" t="s">
        <v>984</v>
      </c>
      <c r="C679" s="1" t="s">
        <v>18</v>
      </c>
      <c r="D679" s="1">
        <v>1</v>
      </c>
      <c r="E679" s="6">
        <v>667</v>
      </c>
      <c r="F679" s="6">
        <v>667</v>
      </c>
      <c r="G679" s="2" t="s">
        <v>19</v>
      </c>
    </row>
    <row r="680" spans="1:7" x14ac:dyDescent="0.3">
      <c r="A680" s="11" t="s">
        <v>59</v>
      </c>
      <c r="B680" s="1" t="s">
        <v>985</v>
      </c>
      <c r="C680" s="1" t="s">
        <v>6</v>
      </c>
      <c r="D680" s="1">
        <v>5</v>
      </c>
      <c r="E680" s="6">
        <v>159</v>
      </c>
      <c r="F680" s="6">
        <v>795</v>
      </c>
      <c r="G680" s="2" t="s">
        <v>11</v>
      </c>
    </row>
    <row r="681" spans="1:7" x14ac:dyDescent="0.3">
      <c r="A681" s="11" t="s">
        <v>249</v>
      </c>
      <c r="B681" s="1" t="s">
        <v>986</v>
      </c>
      <c r="C681" s="1" t="s">
        <v>14</v>
      </c>
      <c r="D681" s="1">
        <v>5</v>
      </c>
      <c r="E681" s="6">
        <v>1000</v>
      </c>
      <c r="F681" s="6">
        <v>5000</v>
      </c>
      <c r="G681" s="2" t="s">
        <v>7</v>
      </c>
    </row>
    <row r="682" spans="1:7" x14ac:dyDescent="0.3">
      <c r="A682" s="11" t="s">
        <v>289</v>
      </c>
      <c r="B682" s="1" t="s">
        <v>987</v>
      </c>
      <c r="C682" s="1" t="s">
        <v>68</v>
      </c>
      <c r="D682" s="1">
        <v>5</v>
      </c>
      <c r="E682" s="6">
        <v>393</v>
      </c>
      <c r="F682" s="6">
        <v>1965</v>
      </c>
      <c r="G682" s="2" t="s">
        <v>27</v>
      </c>
    </row>
    <row r="683" spans="1:7" x14ac:dyDescent="0.3">
      <c r="A683" s="11" t="s">
        <v>20</v>
      </c>
      <c r="B683" s="1" t="s">
        <v>988</v>
      </c>
      <c r="C683" s="1" t="s">
        <v>6</v>
      </c>
      <c r="D683" s="1">
        <v>4</v>
      </c>
      <c r="E683" s="6">
        <v>341</v>
      </c>
      <c r="F683" s="6">
        <v>1364</v>
      </c>
      <c r="G683" s="2" t="s">
        <v>19</v>
      </c>
    </row>
    <row r="684" spans="1:7" x14ac:dyDescent="0.3">
      <c r="A684" s="11" t="s">
        <v>277</v>
      </c>
      <c r="B684" s="1" t="s">
        <v>989</v>
      </c>
      <c r="C684" s="1"/>
      <c r="D684" s="1">
        <v>4</v>
      </c>
      <c r="E684" s="6">
        <v>515</v>
      </c>
      <c r="F684" s="6">
        <v>2060</v>
      </c>
      <c r="G684" s="2" t="s">
        <v>11</v>
      </c>
    </row>
    <row r="685" spans="1:7" x14ac:dyDescent="0.3">
      <c r="A685" s="11" t="s">
        <v>990</v>
      </c>
      <c r="B685" s="1" t="s">
        <v>991</v>
      </c>
      <c r="C685" s="1" t="s">
        <v>10</v>
      </c>
      <c r="D685" s="1">
        <v>5</v>
      </c>
      <c r="E685" s="6">
        <v>706</v>
      </c>
      <c r="F685" s="6">
        <v>3530</v>
      </c>
      <c r="G685" s="2" t="s">
        <v>7</v>
      </c>
    </row>
    <row r="686" spans="1:7" x14ac:dyDescent="0.3">
      <c r="A686" s="11" t="s">
        <v>908</v>
      </c>
      <c r="B686" s="1" t="s">
        <v>992</v>
      </c>
      <c r="C686" s="1"/>
      <c r="D686" s="1">
        <v>5</v>
      </c>
      <c r="E686" s="6">
        <v>606</v>
      </c>
      <c r="F686" s="6">
        <v>3030</v>
      </c>
      <c r="G686" s="2" t="s">
        <v>11</v>
      </c>
    </row>
    <row r="687" spans="1:7" x14ac:dyDescent="0.3">
      <c r="A687" s="11" t="s">
        <v>134</v>
      </c>
      <c r="B687" s="1" t="s">
        <v>993</v>
      </c>
      <c r="C687" s="1" t="s">
        <v>30</v>
      </c>
      <c r="D687" s="1">
        <v>6</v>
      </c>
      <c r="E687" s="6">
        <v>586</v>
      </c>
      <c r="F687" s="6">
        <v>3516</v>
      </c>
      <c r="G687" s="2" t="s">
        <v>15</v>
      </c>
    </row>
    <row r="688" spans="1:7" x14ac:dyDescent="0.3">
      <c r="A688" s="11" t="s">
        <v>994</v>
      </c>
      <c r="B688" s="1" t="s">
        <v>995</v>
      </c>
      <c r="C688" s="1" t="s">
        <v>38</v>
      </c>
      <c r="D688" s="1">
        <v>1</v>
      </c>
      <c r="E688" s="6">
        <v>555</v>
      </c>
      <c r="F688" s="6">
        <v>555</v>
      </c>
      <c r="G688" s="2" t="s">
        <v>27</v>
      </c>
    </row>
    <row r="689" spans="1:7" x14ac:dyDescent="0.3">
      <c r="A689" s="11"/>
      <c r="B689" s="1" t="s">
        <v>996</v>
      </c>
      <c r="C689" s="1" t="s">
        <v>79</v>
      </c>
      <c r="D689" s="1">
        <v>4</v>
      </c>
      <c r="E689" s="6">
        <v>960</v>
      </c>
      <c r="F689" s="6">
        <v>3840</v>
      </c>
      <c r="G689" s="2" t="s">
        <v>7</v>
      </c>
    </row>
    <row r="690" spans="1:7" x14ac:dyDescent="0.3">
      <c r="A690" s="11" t="s">
        <v>997</v>
      </c>
      <c r="B690" s="1" t="s">
        <v>998</v>
      </c>
      <c r="C690" s="1" t="s">
        <v>6</v>
      </c>
      <c r="D690" s="1">
        <v>5</v>
      </c>
      <c r="E690" s="6">
        <v>187</v>
      </c>
      <c r="F690" s="6">
        <v>935</v>
      </c>
      <c r="G690" s="2" t="s">
        <v>27</v>
      </c>
    </row>
    <row r="691" spans="1:7" x14ac:dyDescent="0.3">
      <c r="A691" s="11"/>
      <c r="B691" s="1" t="s">
        <v>999</v>
      </c>
      <c r="C691" s="1" t="s">
        <v>30</v>
      </c>
      <c r="D691" s="1">
        <v>6</v>
      </c>
      <c r="E691" s="6">
        <v>0</v>
      </c>
      <c r="F691" s="6">
        <v>0</v>
      </c>
      <c r="G691" s="2" t="s">
        <v>19</v>
      </c>
    </row>
    <row r="692" spans="1:7" x14ac:dyDescent="0.3">
      <c r="A692" s="11" t="s">
        <v>302</v>
      </c>
      <c r="B692" s="1" t="s">
        <v>1000</v>
      </c>
      <c r="C692" s="1"/>
      <c r="D692" s="1">
        <v>2</v>
      </c>
      <c r="E692" s="6">
        <v>566</v>
      </c>
      <c r="F692" s="6">
        <v>1132</v>
      </c>
      <c r="G692" s="2" t="s">
        <v>19</v>
      </c>
    </row>
    <row r="693" spans="1:7" x14ac:dyDescent="0.3">
      <c r="A693" s="11" t="s">
        <v>745</v>
      </c>
      <c r="B693" s="1" t="s">
        <v>1001</v>
      </c>
      <c r="C693" s="1" t="s">
        <v>10</v>
      </c>
      <c r="D693" s="1">
        <v>3</v>
      </c>
      <c r="E693" s="6">
        <v>529</v>
      </c>
      <c r="F693" s="6">
        <v>1587</v>
      </c>
      <c r="G693" s="2" t="s">
        <v>11</v>
      </c>
    </row>
    <row r="694" spans="1:7" x14ac:dyDescent="0.3">
      <c r="A694" s="11" t="s">
        <v>710</v>
      </c>
      <c r="B694" s="1" t="s">
        <v>1002</v>
      </c>
      <c r="C694" s="1" t="s">
        <v>38</v>
      </c>
      <c r="D694" s="1">
        <v>5</v>
      </c>
      <c r="E694" s="6">
        <v>329</v>
      </c>
      <c r="F694" s="6">
        <v>1645</v>
      </c>
      <c r="G694" s="2" t="s">
        <v>19</v>
      </c>
    </row>
    <row r="695" spans="1:7" x14ac:dyDescent="0.3">
      <c r="A695" s="11" t="s">
        <v>1003</v>
      </c>
      <c r="B695" s="1" t="s">
        <v>1004</v>
      </c>
      <c r="C695" s="1" t="s">
        <v>65</v>
      </c>
      <c r="D695" s="1" t="e">
        <v>#DIV/0!</v>
      </c>
      <c r="E695" s="6" t="e">
        <v>#DIV/0!</v>
      </c>
      <c r="F695" s="6" t="e">
        <v>#DIV/0!</v>
      </c>
      <c r="G695" s="2" t="s">
        <v>33</v>
      </c>
    </row>
    <row r="696" spans="1:7" x14ac:dyDescent="0.3">
      <c r="A696" s="11" t="s">
        <v>1005</v>
      </c>
      <c r="B696" s="1" t="s">
        <v>1006</v>
      </c>
      <c r="C696" s="1" t="s">
        <v>6</v>
      </c>
      <c r="D696" s="1">
        <v>5</v>
      </c>
      <c r="E696" s="6">
        <v>878</v>
      </c>
      <c r="F696" s="6">
        <v>4390</v>
      </c>
      <c r="G696" s="2" t="s">
        <v>19</v>
      </c>
    </row>
    <row r="697" spans="1:7" x14ac:dyDescent="0.3">
      <c r="A697" s="11" t="s">
        <v>754</v>
      </c>
      <c r="B697" s="1" t="s">
        <v>1007</v>
      </c>
      <c r="C697" s="1" t="s">
        <v>38</v>
      </c>
      <c r="D697" s="1">
        <v>2</v>
      </c>
      <c r="E697" s="6">
        <v>165</v>
      </c>
      <c r="F697" s="6">
        <v>330</v>
      </c>
      <c r="G697" s="2" t="s">
        <v>7</v>
      </c>
    </row>
    <row r="698" spans="1:7" x14ac:dyDescent="0.3">
      <c r="A698" s="11" t="s">
        <v>631</v>
      </c>
      <c r="B698" s="1" t="s">
        <v>1008</v>
      </c>
      <c r="C698" s="1" t="s">
        <v>79</v>
      </c>
      <c r="D698" s="1">
        <v>1</v>
      </c>
      <c r="E698" s="6">
        <v>388</v>
      </c>
      <c r="F698" s="6">
        <v>388</v>
      </c>
      <c r="G698" s="2" t="s">
        <v>27</v>
      </c>
    </row>
    <row r="699" spans="1:7" x14ac:dyDescent="0.3">
      <c r="A699" s="11" t="s">
        <v>1009</v>
      </c>
      <c r="B699" s="1" t="s">
        <v>1010</v>
      </c>
      <c r="C699" s="1" t="s">
        <v>65</v>
      </c>
      <c r="D699" s="1">
        <v>4</v>
      </c>
      <c r="E699" s="6">
        <v>216</v>
      </c>
      <c r="F699" s="6">
        <v>864</v>
      </c>
      <c r="G699" s="2"/>
    </row>
    <row r="700" spans="1:7" x14ac:dyDescent="0.3">
      <c r="A700" s="11" t="s">
        <v>251</v>
      </c>
      <c r="B700" s="1" t="s">
        <v>1011</v>
      </c>
      <c r="C700" s="1" t="s">
        <v>24</v>
      </c>
      <c r="D700" s="1">
        <v>1</v>
      </c>
      <c r="E700" s="6">
        <v>798</v>
      </c>
      <c r="F700" s="6">
        <v>798</v>
      </c>
      <c r="G700" s="2" t="s">
        <v>11</v>
      </c>
    </row>
    <row r="701" spans="1:7" x14ac:dyDescent="0.3">
      <c r="A701" s="11" t="s">
        <v>81</v>
      </c>
      <c r="B701" s="1" t="s">
        <v>1012</v>
      </c>
      <c r="C701" s="1" t="s">
        <v>38</v>
      </c>
      <c r="D701" s="1">
        <v>3</v>
      </c>
      <c r="E701" s="6">
        <v>519</v>
      </c>
      <c r="F701" s="6">
        <v>1557</v>
      </c>
      <c r="G701" s="2" t="s">
        <v>19</v>
      </c>
    </row>
    <row r="702" spans="1:7" x14ac:dyDescent="0.3">
      <c r="A702" s="11" t="s">
        <v>85</v>
      </c>
      <c r="B702" s="1" t="s">
        <v>1013</v>
      </c>
      <c r="C702" s="1" t="s">
        <v>24</v>
      </c>
      <c r="D702" s="1">
        <v>6</v>
      </c>
      <c r="E702" s="6">
        <v>713</v>
      </c>
      <c r="F702" s="6">
        <v>4278</v>
      </c>
      <c r="G702" s="2" t="s">
        <v>27</v>
      </c>
    </row>
    <row r="703" spans="1:7" x14ac:dyDescent="0.3">
      <c r="A703" s="11" t="s">
        <v>81</v>
      </c>
      <c r="B703" s="1" t="s">
        <v>1014</v>
      </c>
      <c r="C703" s="1"/>
      <c r="D703" s="1">
        <v>1</v>
      </c>
      <c r="E703" s="6">
        <v>313</v>
      </c>
      <c r="F703" s="6">
        <v>313</v>
      </c>
      <c r="G703" s="2"/>
    </row>
    <row r="704" spans="1:7" x14ac:dyDescent="0.3">
      <c r="A704" s="11" t="s">
        <v>144</v>
      </c>
      <c r="B704" s="1" t="s">
        <v>1015</v>
      </c>
      <c r="C704" s="1" t="s">
        <v>14</v>
      </c>
      <c r="D704" s="1">
        <v>5</v>
      </c>
      <c r="E704" s="6">
        <v>785</v>
      </c>
      <c r="F704" s="6">
        <v>3925</v>
      </c>
      <c r="G704" s="2" t="s">
        <v>7</v>
      </c>
    </row>
    <row r="705" spans="1:7" x14ac:dyDescent="0.3">
      <c r="A705" s="11" t="s">
        <v>286</v>
      </c>
      <c r="B705" s="1" t="s">
        <v>1016</v>
      </c>
      <c r="C705" s="1" t="s">
        <v>68</v>
      </c>
      <c r="D705" s="1">
        <v>6</v>
      </c>
      <c r="E705" s="6">
        <v>240</v>
      </c>
      <c r="F705" s="6">
        <v>1440</v>
      </c>
      <c r="G705" s="2" t="s">
        <v>19</v>
      </c>
    </row>
    <row r="706" spans="1:7" x14ac:dyDescent="0.3">
      <c r="A706" s="11" t="s">
        <v>1017</v>
      </c>
      <c r="B706" s="1" t="s">
        <v>1018</v>
      </c>
      <c r="C706" s="1" t="s">
        <v>30</v>
      </c>
      <c r="D706" s="1">
        <v>2</v>
      </c>
      <c r="E706" s="6">
        <v>64</v>
      </c>
      <c r="F706" s="6">
        <v>128</v>
      </c>
      <c r="G706" s="2" t="s">
        <v>19</v>
      </c>
    </row>
    <row r="707" spans="1:7" x14ac:dyDescent="0.3">
      <c r="A707" s="11" t="s">
        <v>710</v>
      </c>
      <c r="B707" s="1" t="s">
        <v>174</v>
      </c>
      <c r="C707" s="1" t="s">
        <v>65</v>
      </c>
      <c r="D707" s="1">
        <v>1</v>
      </c>
      <c r="E707" s="6">
        <v>804</v>
      </c>
      <c r="F707" s="6">
        <v>804</v>
      </c>
      <c r="G707" s="2" t="s">
        <v>19</v>
      </c>
    </row>
    <row r="708" spans="1:7" x14ac:dyDescent="0.3">
      <c r="A708" s="11" t="s">
        <v>1019</v>
      </c>
      <c r="B708" s="1" t="s">
        <v>1020</v>
      </c>
      <c r="C708" s="1" t="s">
        <v>65</v>
      </c>
      <c r="D708" s="1">
        <v>2</v>
      </c>
      <c r="E708" s="6">
        <v>395</v>
      </c>
      <c r="F708" s="6">
        <v>790</v>
      </c>
      <c r="G708" s="2" t="s">
        <v>27</v>
      </c>
    </row>
    <row r="709" spans="1:7" x14ac:dyDescent="0.3">
      <c r="A709" s="11" t="s">
        <v>505</v>
      </c>
      <c r="B709" s="1" t="s">
        <v>1021</v>
      </c>
      <c r="C709" s="1" t="s">
        <v>38</v>
      </c>
      <c r="D709" s="1">
        <v>6</v>
      </c>
      <c r="E709" s="6">
        <v>859</v>
      </c>
      <c r="F709" s="6">
        <v>5154</v>
      </c>
      <c r="G709" s="2"/>
    </row>
    <row r="710" spans="1:7" x14ac:dyDescent="0.3">
      <c r="A710" s="11" t="s">
        <v>53</v>
      </c>
      <c r="B710" s="1" t="s">
        <v>1022</v>
      </c>
      <c r="C710" s="1" t="s">
        <v>68</v>
      </c>
      <c r="D710" s="1" t="e">
        <v>#DIV/0!</v>
      </c>
      <c r="E710" s="6" t="e">
        <v>#DIV/0!</v>
      </c>
      <c r="F710" s="6">
        <v>1408</v>
      </c>
      <c r="G710" s="2" t="s">
        <v>33</v>
      </c>
    </row>
    <row r="711" spans="1:7" x14ac:dyDescent="0.3">
      <c r="A711" s="11" t="s">
        <v>1023</v>
      </c>
      <c r="B711" s="1" t="s">
        <v>1024</v>
      </c>
      <c r="C711" s="1" t="s">
        <v>14</v>
      </c>
      <c r="D711" s="1">
        <v>4</v>
      </c>
      <c r="E711" s="6">
        <v>631</v>
      </c>
      <c r="F711" s="6">
        <v>2524</v>
      </c>
      <c r="G711" s="2" t="s">
        <v>33</v>
      </c>
    </row>
    <row r="712" spans="1:7" x14ac:dyDescent="0.3">
      <c r="A712" s="11" t="s">
        <v>578</v>
      </c>
      <c r="B712" s="1" t="s">
        <v>1025</v>
      </c>
      <c r="C712" s="1" t="s">
        <v>79</v>
      </c>
      <c r="D712" s="1">
        <v>5</v>
      </c>
      <c r="E712" s="6">
        <v>740</v>
      </c>
      <c r="F712" s="6">
        <v>3700</v>
      </c>
      <c r="G712" s="2"/>
    </row>
    <row r="713" spans="1:7" x14ac:dyDescent="0.3">
      <c r="A713" s="11" t="s">
        <v>230</v>
      </c>
      <c r="B713" s="1" t="s">
        <v>1026</v>
      </c>
      <c r="C713" s="1" t="s">
        <v>18</v>
      </c>
      <c r="D713" s="1">
        <v>5</v>
      </c>
      <c r="E713" s="6">
        <v>825</v>
      </c>
      <c r="F713" s="6">
        <v>4125</v>
      </c>
      <c r="G713" s="2" t="s">
        <v>27</v>
      </c>
    </row>
    <row r="714" spans="1:7" x14ac:dyDescent="0.3">
      <c r="A714" s="11"/>
      <c r="B714" s="1" t="s">
        <v>1027</v>
      </c>
      <c r="C714" s="1" t="s">
        <v>6</v>
      </c>
      <c r="D714" s="1">
        <v>5</v>
      </c>
      <c r="E714" s="6">
        <v>247</v>
      </c>
      <c r="F714" s="6">
        <v>1235</v>
      </c>
      <c r="G714" s="2"/>
    </row>
    <row r="715" spans="1:7" x14ac:dyDescent="0.3">
      <c r="A715" s="11"/>
      <c r="B715" s="1" t="s">
        <v>1028</v>
      </c>
      <c r="C715" s="1" t="s">
        <v>14</v>
      </c>
      <c r="D715" s="1">
        <v>0</v>
      </c>
      <c r="E715" s="6">
        <v>229</v>
      </c>
      <c r="F715" s="6">
        <v>0</v>
      </c>
      <c r="G715" s="2" t="s">
        <v>33</v>
      </c>
    </row>
    <row r="716" spans="1:7" x14ac:dyDescent="0.3">
      <c r="A716" s="11" t="s">
        <v>357</v>
      </c>
      <c r="B716" s="1" t="s">
        <v>1029</v>
      </c>
      <c r="C716" s="1"/>
      <c r="D716" s="1">
        <v>3</v>
      </c>
      <c r="E716" s="6">
        <v>675</v>
      </c>
      <c r="F716" s="6">
        <v>2025</v>
      </c>
      <c r="G716" s="2" t="s">
        <v>33</v>
      </c>
    </row>
    <row r="717" spans="1:7" x14ac:dyDescent="0.3">
      <c r="A717" s="11" t="s">
        <v>34</v>
      </c>
      <c r="B717" s="1" t="s">
        <v>1030</v>
      </c>
      <c r="C717" s="1" t="s">
        <v>18</v>
      </c>
      <c r="D717" s="1">
        <v>3</v>
      </c>
      <c r="E717" s="6">
        <v>926</v>
      </c>
      <c r="F717" s="6">
        <v>2778</v>
      </c>
      <c r="G717" s="2" t="s">
        <v>7</v>
      </c>
    </row>
    <row r="718" spans="1:7" x14ac:dyDescent="0.3">
      <c r="A718" s="11" t="s">
        <v>528</v>
      </c>
      <c r="B718" s="1" t="s">
        <v>1031</v>
      </c>
      <c r="C718" s="1" t="s">
        <v>65</v>
      </c>
      <c r="D718" s="1">
        <v>3</v>
      </c>
      <c r="E718" s="6">
        <v>704</v>
      </c>
      <c r="F718" s="6">
        <v>2112</v>
      </c>
      <c r="G718" s="2" t="s">
        <v>27</v>
      </c>
    </row>
    <row r="719" spans="1:7" x14ac:dyDescent="0.3">
      <c r="A719" s="11" t="s">
        <v>156</v>
      </c>
      <c r="B719" s="1" t="s">
        <v>1032</v>
      </c>
      <c r="C719" s="1" t="s">
        <v>68</v>
      </c>
      <c r="D719" s="1">
        <v>4</v>
      </c>
      <c r="E719" s="6">
        <v>968</v>
      </c>
      <c r="F719" s="6">
        <v>3872</v>
      </c>
      <c r="G719" s="2"/>
    </row>
    <row r="720" spans="1:7" x14ac:dyDescent="0.3">
      <c r="A720" s="11" t="s">
        <v>108</v>
      </c>
      <c r="B720" s="1" t="s">
        <v>1033</v>
      </c>
      <c r="C720" s="1" t="s">
        <v>68</v>
      </c>
      <c r="D720" s="1">
        <v>4</v>
      </c>
      <c r="E720" s="6">
        <v>465</v>
      </c>
      <c r="F720" s="6">
        <v>1860</v>
      </c>
      <c r="G720" s="2" t="s">
        <v>19</v>
      </c>
    </row>
    <row r="721" spans="1:7" x14ac:dyDescent="0.3">
      <c r="A721" s="11" t="s">
        <v>202</v>
      </c>
      <c r="B721" s="1" t="s">
        <v>46</v>
      </c>
      <c r="C721" s="1" t="s">
        <v>38</v>
      </c>
      <c r="D721" s="1">
        <v>3</v>
      </c>
      <c r="E721" s="6">
        <v>896</v>
      </c>
      <c r="F721" s="6">
        <v>2688</v>
      </c>
      <c r="G721" s="2" t="s">
        <v>27</v>
      </c>
    </row>
    <row r="722" spans="1:7" x14ac:dyDescent="0.3">
      <c r="A722" s="11"/>
      <c r="B722" s="1" t="s">
        <v>1034</v>
      </c>
      <c r="C722" s="1" t="s">
        <v>79</v>
      </c>
      <c r="D722" s="1">
        <v>6</v>
      </c>
      <c r="E722" s="6">
        <v>487</v>
      </c>
      <c r="F722" s="6">
        <v>2922</v>
      </c>
      <c r="G722" s="2" t="s">
        <v>19</v>
      </c>
    </row>
    <row r="723" spans="1:7" x14ac:dyDescent="0.3">
      <c r="A723" s="11" t="s">
        <v>249</v>
      </c>
      <c r="B723" s="1" t="s">
        <v>1035</v>
      </c>
      <c r="C723" s="1" t="s">
        <v>10</v>
      </c>
      <c r="D723" s="1">
        <v>5</v>
      </c>
      <c r="E723" s="6">
        <v>577</v>
      </c>
      <c r="F723" s="6">
        <v>2885</v>
      </c>
      <c r="G723" s="2" t="s">
        <v>15</v>
      </c>
    </row>
    <row r="724" spans="1:7" x14ac:dyDescent="0.3">
      <c r="A724" s="11" t="s">
        <v>472</v>
      </c>
      <c r="B724" s="1" t="s">
        <v>1036</v>
      </c>
      <c r="C724" s="1" t="s">
        <v>65</v>
      </c>
      <c r="D724" s="1">
        <v>1</v>
      </c>
      <c r="E724" s="6">
        <v>385</v>
      </c>
      <c r="F724" s="6">
        <v>385</v>
      </c>
      <c r="G724" s="2" t="s">
        <v>27</v>
      </c>
    </row>
    <row r="725" spans="1:7" x14ac:dyDescent="0.3">
      <c r="A725" s="11" t="s">
        <v>371</v>
      </c>
      <c r="B725" s="1" t="s">
        <v>1037</v>
      </c>
      <c r="C725" s="1" t="s">
        <v>79</v>
      </c>
      <c r="D725" s="1">
        <v>6</v>
      </c>
      <c r="E725" s="6">
        <v>138</v>
      </c>
      <c r="F725" s="6">
        <v>828</v>
      </c>
      <c r="G725" s="2" t="s">
        <v>7</v>
      </c>
    </row>
    <row r="726" spans="1:7" x14ac:dyDescent="0.3">
      <c r="A726" s="11"/>
      <c r="B726" s="1" t="s">
        <v>1038</v>
      </c>
      <c r="C726" s="1"/>
      <c r="D726" s="1">
        <v>6</v>
      </c>
      <c r="E726" s="6">
        <v>460</v>
      </c>
      <c r="F726" s="6">
        <v>2760</v>
      </c>
      <c r="G726" s="2" t="s">
        <v>19</v>
      </c>
    </row>
    <row r="727" spans="1:7" x14ac:dyDescent="0.3">
      <c r="A727" s="11" t="s">
        <v>745</v>
      </c>
      <c r="B727" s="1" t="s">
        <v>1039</v>
      </c>
      <c r="C727" s="1" t="s">
        <v>65</v>
      </c>
      <c r="D727" s="1">
        <v>3</v>
      </c>
      <c r="E727" s="6">
        <v>735</v>
      </c>
      <c r="F727" s="6">
        <v>2205</v>
      </c>
      <c r="G727" s="2" t="s">
        <v>15</v>
      </c>
    </row>
    <row r="728" spans="1:7" x14ac:dyDescent="0.3">
      <c r="A728" s="11" t="s">
        <v>1040</v>
      </c>
      <c r="B728" s="1" t="s">
        <v>1041</v>
      </c>
      <c r="C728" s="1" t="s">
        <v>18</v>
      </c>
      <c r="D728" s="1">
        <v>1</v>
      </c>
      <c r="E728" s="6">
        <v>147</v>
      </c>
      <c r="F728" s="6">
        <v>147</v>
      </c>
      <c r="G728" s="2" t="s">
        <v>11</v>
      </c>
    </row>
    <row r="729" spans="1:7" x14ac:dyDescent="0.3">
      <c r="A729" s="11" t="s">
        <v>156</v>
      </c>
      <c r="B729" s="1" t="s">
        <v>1042</v>
      </c>
      <c r="C729" s="1" t="s">
        <v>79</v>
      </c>
      <c r="D729" s="1">
        <v>3</v>
      </c>
      <c r="E729" s="6">
        <v>239</v>
      </c>
      <c r="F729" s="6">
        <v>717</v>
      </c>
      <c r="G729" s="2" t="s">
        <v>11</v>
      </c>
    </row>
    <row r="730" spans="1:7" x14ac:dyDescent="0.3">
      <c r="A730" s="11" t="s">
        <v>635</v>
      </c>
      <c r="B730" s="1" t="s">
        <v>1043</v>
      </c>
      <c r="C730" s="1" t="s">
        <v>14</v>
      </c>
      <c r="D730" s="1">
        <v>1</v>
      </c>
      <c r="E730" s="6">
        <v>193</v>
      </c>
      <c r="F730" s="6">
        <v>193</v>
      </c>
      <c r="G730" s="2" t="s">
        <v>11</v>
      </c>
    </row>
    <row r="731" spans="1:7" x14ac:dyDescent="0.3">
      <c r="A731" s="11" t="s">
        <v>335</v>
      </c>
      <c r="B731" s="1" t="s">
        <v>1044</v>
      </c>
      <c r="C731" s="1" t="s">
        <v>79</v>
      </c>
      <c r="D731" s="1">
        <v>5</v>
      </c>
      <c r="E731" s="6">
        <v>538</v>
      </c>
      <c r="F731" s="6">
        <v>2690</v>
      </c>
      <c r="G731" s="2" t="s">
        <v>19</v>
      </c>
    </row>
    <row r="732" spans="1:7" x14ac:dyDescent="0.3">
      <c r="A732" s="11" t="s">
        <v>817</v>
      </c>
      <c r="B732" s="1" t="s">
        <v>1045</v>
      </c>
      <c r="C732" s="1" t="s">
        <v>14</v>
      </c>
      <c r="D732" s="1">
        <v>6</v>
      </c>
      <c r="E732" s="6">
        <v>381</v>
      </c>
      <c r="F732" s="6">
        <v>2286</v>
      </c>
      <c r="G732" s="2" t="s">
        <v>27</v>
      </c>
    </row>
    <row r="733" spans="1:7" x14ac:dyDescent="0.3">
      <c r="A733" s="11" t="s">
        <v>243</v>
      </c>
      <c r="B733" s="1" t="s">
        <v>1046</v>
      </c>
      <c r="C733" s="1" t="s">
        <v>68</v>
      </c>
      <c r="D733" s="1">
        <v>4</v>
      </c>
      <c r="E733" s="6">
        <v>304</v>
      </c>
      <c r="F733" s="6">
        <v>1216</v>
      </c>
      <c r="G733" s="2" t="s">
        <v>19</v>
      </c>
    </row>
    <row r="734" spans="1:7" x14ac:dyDescent="0.3">
      <c r="A734" s="11" t="s">
        <v>416</v>
      </c>
      <c r="B734" s="1" t="s">
        <v>1047</v>
      </c>
      <c r="C734" s="1" t="s">
        <v>14</v>
      </c>
      <c r="D734" s="1">
        <v>3</v>
      </c>
      <c r="E734" s="6">
        <v>56</v>
      </c>
      <c r="F734" s="6">
        <v>168</v>
      </c>
      <c r="G734" s="2" t="s">
        <v>11</v>
      </c>
    </row>
    <row r="735" spans="1:7" x14ac:dyDescent="0.3">
      <c r="A735" s="11" t="s">
        <v>247</v>
      </c>
      <c r="B735" s="1" t="s">
        <v>1048</v>
      </c>
      <c r="C735" s="1" t="s">
        <v>30</v>
      </c>
      <c r="D735" s="1">
        <v>3</v>
      </c>
      <c r="E735" s="6">
        <v>317</v>
      </c>
      <c r="F735" s="6">
        <v>951</v>
      </c>
      <c r="G735" s="2" t="s">
        <v>27</v>
      </c>
    </row>
    <row r="736" spans="1:7" x14ac:dyDescent="0.3">
      <c r="A736" s="11" t="s">
        <v>257</v>
      </c>
      <c r="B736" s="1" t="s">
        <v>1049</v>
      </c>
      <c r="C736" s="1" t="s">
        <v>10</v>
      </c>
      <c r="D736" s="1">
        <v>6</v>
      </c>
      <c r="E736" s="6">
        <v>442</v>
      </c>
      <c r="F736" s="6">
        <v>2652</v>
      </c>
      <c r="G736" s="2" t="s">
        <v>15</v>
      </c>
    </row>
    <row r="737" spans="1:7" x14ac:dyDescent="0.3">
      <c r="A737" s="11" t="s">
        <v>420</v>
      </c>
      <c r="B737" s="1" t="s">
        <v>1050</v>
      </c>
      <c r="C737" s="1" t="s">
        <v>30</v>
      </c>
      <c r="D737" s="1">
        <v>6</v>
      </c>
      <c r="E737" s="6">
        <v>291</v>
      </c>
      <c r="F737" s="6">
        <v>1746</v>
      </c>
      <c r="G737" s="2" t="s">
        <v>11</v>
      </c>
    </row>
    <row r="738" spans="1:7" x14ac:dyDescent="0.3">
      <c r="A738" s="11" t="s">
        <v>493</v>
      </c>
      <c r="B738" s="1" t="s">
        <v>1051</v>
      </c>
      <c r="C738" s="1" t="s">
        <v>18</v>
      </c>
      <c r="D738" s="1">
        <v>5</v>
      </c>
      <c r="E738" s="6">
        <v>507</v>
      </c>
      <c r="F738" s="6">
        <v>2535</v>
      </c>
      <c r="G738" s="2" t="s">
        <v>7</v>
      </c>
    </row>
    <row r="739" spans="1:7" x14ac:dyDescent="0.3">
      <c r="A739" s="11" t="s">
        <v>1052</v>
      </c>
      <c r="B739" s="1" t="s">
        <v>1053</v>
      </c>
      <c r="C739" s="1"/>
      <c r="D739" s="1">
        <v>2</v>
      </c>
      <c r="E739" s="6">
        <v>821</v>
      </c>
      <c r="F739" s="6">
        <v>1642</v>
      </c>
      <c r="G739" s="2" t="s">
        <v>27</v>
      </c>
    </row>
    <row r="740" spans="1:7" x14ac:dyDescent="0.3">
      <c r="A740" s="11" t="s">
        <v>1054</v>
      </c>
      <c r="B740" s="1" t="s">
        <v>1055</v>
      </c>
      <c r="C740" s="1" t="s">
        <v>18</v>
      </c>
      <c r="D740" s="1">
        <v>3</v>
      </c>
      <c r="E740" s="6">
        <v>323</v>
      </c>
      <c r="F740" s="6">
        <v>969</v>
      </c>
      <c r="G740" s="2" t="s">
        <v>19</v>
      </c>
    </row>
    <row r="741" spans="1:7" x14ac:dyDescent="0.3">
      <c r="A741" s="11" t="s">
        <v>129</v>
      </c>
      <c r="B741" s="1" t="s">
        <v>1056</v>
      </c>
      <c r="C741" s="1"/>
      <c r="D741" s="1">
        <v>1</v>
      </c>
      <c r="E741" s="6">
        <v>387</v>
      </c>
      <c r="F741" s="6">
        <v>387</v>
      </c>
      <c r="G741" s="2" t="s">
        <v>19</v>
      </c>
    </row>
    <row r="742" spans="1:7" x14ac:dyDescent="0.3">
      <c r="A742" s="11" t="s">
        <v>1057</v>
      </c>
      <c r="B742" s="1" t="s">
        <v>1058</v>
      </c>
      <c r="C742" s="1"/>
      <c r="D742" s="1">
        <v>5</v>
      </c>
      <c r="E742" s="6">
        <v>359</v>
      </c>
      <c r="F742" s="6">
        <v>1795</v>
      </c>
      <c r="G742" s="2" t="s">
        <v>7</v>
      </c>
    </row>
    <row r="743" spans="1:7" x14ac:dyDescent="0.3">
      <c r="A743" s="11"/>
      <c r="B743" s="1" t="s">
        <v>1059</v>
      </c>
      <c r="C743" s="1" t="s">
        <v>30</v>
      </c>
      <c r="D743" s="1">
        <v>6</v>
      </c>
      <c r="E743" s="6">
        <v>646</v>
      </c>
      <c r="F743" s="6">
        <v>3876</v>
      </c>
      <c r="G743" s="2" t="s">
        <v>33</v>
      </c>
    </row>
    <row r="744" spans="1:7" x14ac:dyDescent="0.3">
      <c r="A744" s="11" t="s">
        <v>48</v>
      </c>
      <c r="B744" s="1" t="s">
        <v>1060</v>
      </c>
      <c r="C744" s="1" t="s">
        <v>18</v>
      </c>
      <c r="D744" s="1">
        <v>2</v>
      </c>
      <c r="E744" s="6">
        <v>790</v>
      </c>
      <c r="F744" s="6">
        <v>1580</v>
      </c>
      <c r="G744" s="2" t="s">
        <v>19</v>
      </c>
    </row>
    <row r="745" spans="1:7" x14ac:dyDescent="0.3">
      <c r="A745" s="11" t="s">
        <v>110</v>
      </c>
      <c r="B745" s="1" t="s">
        <v>1061</v>
      </c>
      <c r="C745" s="1" t="s">
        <v>65</v>
      </c>
      <c r="D745" s="1">
        <v>3</v>
      </c>
      <c r="E745" s="6">
        <v>636</v>
      </c>
      <c r="F745" s="6">
        <v>1908</v>
      </c>
      <c r="G745" s="2" t="s">
        <v>7</v>
      </c>
    </row>
    <row r="746" spans="1:7" x14ac:dyDescent="0.3">
      <c r="A746" s="11" t="s">
        <v>894</v>
      </c>
      <c r="B746" s="1" t="s">
        <v>1062</v>
      </c>
      <c r="C746" s="1" t="s">
        <v>65</v>
      </c>
      <c r="D746" s="1">
        <v>3</v>
      </c>
      <c r="E746" s="6">
        <v>61</v>
      </c>
      <c r="F746" s="6">
        <v>183</v>
      </c>
      <c r="G746" s="2" t="s">
        <v>11</v>
      </c>
    </row>
    <row r="747" spans="1:7" x14ac:dyDescent="0.3">
      <c r="A747" s="11" t="s">
        <v>920</v>
      </c>
      <c r="B747" s="1" t="s">
        <v>1063</v>
      </c>
      <c r="C747" s="1" t="s">
        <v>65</v>
      </c>
      <c r="D747" s="1">
        <v>6</v>
      </c>
      <c r="E747" s="6">
        <v>317</v>
      </c>
      <c r="F747" s="6">
        <v>1902</v>
      </c>
      <c r="G747" s="2" t="s">
        <v>11</v>
      </c>
    </row>
    <row r="748" spans="1:7" x14ac:dyDescent="0.3">
      <c r="A748" s="11" t="s">
        <v>289</v>
      </c>
      <c r="B748" s="1" t="s">
        <v>1064</v>
      </c>
      <c r="C748" s="1" t="s">
        <v>10</v>
      </c>
      <c r="D748" s="1">
        <v>6</v>
      </c>
      <c r="E748" s="6">
        <v>719</v>
      </c>
      <c r="F748" s="6">
        <v>4314</v>
      </c>
      <c r="G748" s="2" t="s">
        <v>19</v>
      </c>
    </row>
    <row r="749" spans="1:7" x14ac:dyDescent="0.3">
      <c r="A749" s="11" t="s">
        <v>789</v>
      </c>
      <c r="B749" s="1" t="s">
        <v>1065</v>
      </c>
      <c r="C749" s="1" t="s">
        <v>6</v>
      </c>
      <c r="D749" s="1">
        <v>6</v>
      </c>
      <c r="E749" s="6">
        <v>418</v>
      </c>
      <c r="F749" s="6">
        <v>2508</v>
      </c>
      <c r="G749" s="2" t="s">
        <v>27</v>
      </c>
    </row>
    <row r="750" spans="1:7" x14ac:dyDescent="0.3">
      <c r="A750" s="11" t="s">
        <v>299</v>
      </c>
      <c r="B750" s="1" t="s">
        <v>1066</v>
      </c>
      <c r="C750" s="1" t="s">
        <v>14</v>
      </c>
      <c r="D750" s="1">
        <v>4</v>
      </c>
      <c r="E750" s="6">
        <v>759</v>
      </c>
      <c r="F750" s="6">
        <v>3036</v>
      </c>
      <c r="G750" s="2" t="s">
        <v>33</v>
      </c>
    </row>
    <row r="751" spans="1:7" x14ac:dyDescent="0.3">
      <c r="A751" s="11" t="s">
        <v>330</v>
      </c>
      <c r="B751" s="1" t="s">
        <v>1067</v>
      </c>
      <c r="C751" s="1" t="s">
        <v>18</v>
      </c>
      <c r="D751" s="1">
        <v>2</v>
      </c>
      <c r="E751" s="6">
        <v>291</v>
      </c>
      <c r="F751" s="6">
        <v>582</v>
      </c>
      <c r="G751" s="2" t="s">
        <v>19</v>
      </c>
    </row>
    <row r="752" spans="1:7" x14ac:dyDescent="0.3">
      <c r="A752" s="11" t="s">
        <v>561</v>
      </c>
      <c r="B752" s="1" t="s">
        <v>1068</v>
      </c>
      <c r="C752" s="1"/>
      <c r="D752" s="1">
        <v>5</v>
      </c>
      <c r="E752" s="6">
        <v>113</v>
      </c>
      <c r="F752" s="6">
        <v>565</v>
      </c>
      <c r="G752" s="2" t="s">
        <v>11</v>
      </c>
    </row>
    <row r="753" spans="1:7" x14ac:dyDescent="0.3">
      <c r="A753" s="11" t="s">
        <v>647</v>
      </c>
      <c r="B753" s="1" t="s">
        <v>1069</v>
      </c>
      <c r="C753" s="1" t="s">
        <v>18</v>
      </c>
      <c r="D753" s="1">
        <v>6</v>
      </c>
      <c r="E753" s="6">
        <v>733</v>
      </c>
      <c r="F753" s="6">
        <v>4398</v>
      </c>
      <c r="G753" s="2" t="s">
        <v>27</v>
      </c>
    </row>
    <row r="754" spans="1:7" x14ac:dyDescent="0.3">
      <c r="A754" s="11" t="s">
        <v>1070</v>
      </c>
      <c r="B754" s="1" t="s">
        <v>1071</v>
      </c>
      <c r="C754" s="1" t="s">
        <v>14</v>
      </c>
      <c r="D754" s="1">
        <v>1</v>
      </c>
      <c r="E754" s="6">
        <v>171</v>
      </c>
      <c r="F754" s="6">
        <v>171</v>
      </c>
      <c r="G754" s="2" t="s">
        <v>7</v>
      </c>
    </row>
    <row r="755" spans="1:7" x14ac:dyDescent="0.3">
      <c r="A755" s="11" t="s">
        <v>89</v>
      </c>
      <c r="B755" s="1" t="s">
        <v>1072</v>
      </c>
      <c r="C755" s="1" t="s">
        <v>68</v>
      </c>
      <c r="D755" s="1">
        <v>3</v>
      </c>
      <c r="E755" s="6">
        <v>526</v>
      </c>
      <c r="F755" s="6">
        <v>1578</v>
      </c>
      <c r="G755" s="2" t="s">
        <v>11</v>
      </c>
    </row>
    <row r="756" spans="1:7" x14ac:dyDescent="0.3">
      <c r="A756" s="11" t="s">
        <v>1073</v>
      </c>
      <c r="B756" s="1" t="s">
        <v>1074</v>
      </c>
      <c r="C756" s="1" t="s">
        <v>79</v>
      </c>
      <c r="D756" s="1">
        <v>5</v>
      </c>
      <c r="E756" s="6">
        <v>364</v>
      </c>
      <c r="F756" s="6">
        <v>1820</v>
      </c>
      <c r="G756" s="2" t="s">
        <v>7</v>
      </c>
    </row>
    <row r="757" spans="1:7" x14ac:dyDescent="0.3">
      <c r="A757" s="11" t="s">
        <v>1075</v>
      </c>
      <c r="B757" s="1" t="s">
        <v>1076</v>
      </c>
      <c r="C757" s="1" t="s">
        <v>65</v>
      </c>
      <c r="D757" s="1">
        <v>4</v>
      </c>
      <c r="E757" s="6">
        <v>213</v>
      </c>
      <c r="F757" s="6">
        <v>852</v>
      </c>
      <c r="G757" s="2" t="s">
        <v>33</v>
      </c>
    </row>
    <row r="758" spans="1:7" x14ac:dyDescent="0.3">
      <c r="A758" s="11" t="s">
        <v>210</v>
      </c>
      <c r="B758" s="1" t="s">
        <v>1077</v>
      </c>
      <c r="C758" s="1" t="s">
        <v>30</v>
      </c>
      <c r="D758" s="1">
        <v>6</v>
      </c>
      <c r="E758" s="6">
        <v>465</v>
      </c>
      <c r="F758" s="6">
        <v>2790</v>
      </c>
      <c r="G758" s="2" t="s">
        <v>33</v>
      </c>
    </row>
    <row r="759" spans="1:7" x14ac:dyDescent="0.3">
      <c r="A759" s="11" t="s">
        <v>1078</v>
      </c>
      <c r="B759" s="1" t="s">
        <v>1079</v>
      </c>
      <c r="C759" s="1"/>
      <c r="D759" s="1" t="e">
        <v>#DIV/0!</v>
      </c>
      <c r="E759" s="6" t="e">
        <v>#DIV/0!</v>
      </c>
      <c r="F759" s="6">
        <v>2256</v>
      </c>
      <c r="G759" s="2" t="s">
        <v>15</v>
      </c>
    </row>
    <row r="760" spans="1:7" x14ac:dyDescent="0.3">
      <c r="A760" s="11" t="s">
        <v>426</v>
      </c>
      <c r="B760" s="1" t="s">
        <v>1080</v>
      </c>
      <c r="C760" s="1" t="s">
        <v>79</v>
      </c>
      <c r="D760" s="1">
        <v>2</v>
      </c>
      <c r="E760" s="6">
        <v>564</v>
      </c>
      <c r="F760" s="6">
        <v>1128</v>
      </c>
      <c r="G760" s="2" t="s">
        <v>27</v>
      </c>
    </row>
    <row r="761" spans="1:7" x14ac:dyDescent="0.3">
      <c r="A761" s="11"/>
      <c r="B761" s="1" t="s">
        <v>1081</v>
      </c>
      <c r="C761" s="1"/>
      <c r="D761" s="1">
        <v>6</v>
      </c>
      <c r="E761" s="6">
        <v>995</v>
      </c>
      <c r="F761" s="6">
        <v>5970</v>
      </c>
      <c r="G761" s="2" t="s">
        <v>11</v>
      </c>
    </row>
    <row r="762" spans="1:7" x14ac:dyDescent="0.3">
      <c r="A762" s="11" t="s">
        <v>371</v>
      </c>
      <c r="B762" s="1" t="s">
        <v>1082</v>
      </c>
      <c r="C762" s="1" t="s">
        <v>30</v>
      </c>
      <c r="D762" s="1">
        <v>6</v>
      </c>
      <c r="E762" s="6">
        <v>966</v>
      </c>
      <c r="F762" s="6">
        <v>5796</v>
      </c>
      <c r="G762" s="2" t="s">
        <v>7</v>
      </c>
    </row>
    <row r="763" spans="1:7" x14ac:dyDescent="0.3">
      <c r="A763" s="11" t="s">
        <v>1083</v>
      </c>
      <c r="B763" s="1" t="s">
        <v>1084</v>
      </c>
      <c r="C763" s="1" t="s">
        <v>79</v>
      </c>
      <c r="D763" s="1">
        <v>6</v>
      </c>
      <c r="E763" s="6">
        <v>959</v>
      </c>
      <c r="F763" s="6">
        <v>5754</v>
      </c>
      <c r="G763" s="2" t="s">
        <v>7</v>
      </c>
    </row>
    <row r="764" spans="1:7" x14ac:dyDescent="0.3">
      <c r="A764" s="11" t="s">
        <v>322</v>
      </c>
      <c r="B764" s="1" t="s">
        <v>1085</v>
      </c>
      <c r="C764" s="1" t="s">
        <v>79</v>
      </c>
      <c r="D764" s="1">
        <v>6</v>
      </c>
      <c r="E764" s="6">
        <v>770</v>
      </c>
      <c r="F764" s="6">
        <v>4620</v>
      </c>
      <c r="G764" s="2" t="s">
        <v>7</v>
      </c>
    </row>
    <row r="765" spans="1:7" x14ac:dyDescent="0.3">
      <c r="A765" s="11" t="s">
        <v>293</v>
      </c>
      <c r="B765" s="1" t="s">
        <v>1086</v>
      </c>
      <c r="C765" s="1" t="s">
        <v>65</v>
      </c>
      <c r="D765" s="1">
        <v>5</v>
      </c>
      <c r="E765" s="6">
        <v>838</v>
      </c>
      <c r="F765" s="6">
        <v>4190</v>
      </c>
      <c r="G765" s="2"/>
    </row>
    <row r="766" spans="1:7" x14ac:dyDescent="0.3">
      <c r="A766" s="11"/>
      <c r="B766" s="1" t="s">
        <v>1087</v>
      </c>
      <c r="C766" s="1" t="s">
        <v>14</v>
      </c>
      <c r="D766" s="1">
        <v>1</v>
      </c>
      <c r="E766" s="6">
        <v>368</v>
      </c>
      <c r="F766" s="6">
        <v>368</v>
      </c>
      <c r="G766" s="2" t="s">
        <v>19</v>
      </c>
    </row>
    <row r="767" spans="1:7" x14ac:dyDescent="0.3">
      <c r="A767" s="11" t="s">
        <v>507</v>
      </c>
      <c r="B767" s="1" t="s">
        <v>80</v>
      </c>
      <c r="C767" s="1" t="s">
        <v>14</v>
      </c>
      <c r="D767" s="1">
        <v>6</v>
      </c>
      <c r="E767" s="6">
        <v>756</v>
      </c>
      <c r="F767" s="6">
        <v>4536</v>
      </c>
      <c r="G767" s="2" t="s">
        <v>33</v>
      </c>
    </row>
    <row r="768" spans="1:7" x14ac:dyDescent="0.3">
      <c r="A768" s="11" t="s">
        <v>215</v>
      </c>
      <c r="B768" s="1" t="s">
        <v>1088</v>
      </c>
      <c r="C768" s="1" t="s">
        <v>14</v>
      </c>
      <c r="D768" s="1">
        <v>6</v>
      </c>
      <c r="E768" s="6">
        <v>170</v>
      </c>
      <c r="F768" s="6">
        <v>1020</v>
      </c>
      <c r="G768" s="2" t="s">
        <v>15</v>
      </c>
    </row>
    <row r="769" spans="1:7" x14ac:dyDescent="0.3">
      <c r="A769" s="11" t="s">
        <v>717</v>
      </c>
      <c r="B769" s="1" t="s">
        <v>1089</v>
      </c>
      <c r="C769" s="1" t="s">
        <v>18</v>
      </c>
      <c r="D769" s="1">
        <v>4</v>
      </c>
      <c r="E769" s="6">
        <v>704</v>
      </c>
      <c r="F769" s="6">
        <v>2816</v>
      </c>
      <c r="G769" s="2" t="s">
        <v>33</v>
      </c>
    </row>
    <row r="770" spans="1:7" x14ac:dyDescent="0.3">
      <c r="A770" s="11" t="s">
        <v>699</v>
      </c>
      <c r="B770" s="1" t="s">
        <v>1090</v>
      </c>
      <c r="C770" s="1" t="s">
        <v>6</v>
      </c>
      <c r="D770" s="1">
        <v>5</v>
      </c>
      <c r="E770" s="6">
        <v>988</v>
      </c>
      <c r="F770" s="6">
        <v>4940</v>
      </c>
      <c r="G770" s="2" t="s">
        <v>15</v>
      </c>
    </row>
    <row r="771" spans="1:7" x14ac:dyDescent="0.3">
      <c r="A771" s="11" t="s">
        <v>584</v>
      </c>
      <c r="B771" s="1" t="s">
        <v>1091</v>
      </c>
      <c r="C771" s="1" t="s">
        <v>18</v>
      </c>
      <c r="D771" s="1">
        <v>3</v>
      </c>
      <c r="E771" s="6">
        <v>352</v>
      </c>
      <c r="F771" s="6">
        <v>1056</v>
      </c>
      <c r="G771" s="2" t="s">
        <v>33</v>
      </c>
    </row>
    <row r="772" spans="1:7" x14ac:dyDescent="0.3">
      <c r="A772" s="11" t="s">
        <v>138</v>
      </c>
      <c r="B772" s="1" t="s">
        <v>1092</v>
      </c>
      <c r="C772" s="1" t="s">
        <v>79</v>
      </c>
      <c r="D772" s="1" t="e">
        <v>#DIV/0!</v>
      </c>
      <c r="E772" s="6" t="e">
        <v>#DIV/0!</v>
      </c>
      <c r="F772" s="6" t="e">
        <v>#DIV/0!</v>
      </c>
      <c r="G772" s="2" t="s">
        <v>7</v>
      </c>
    </row>
    <row r="773" spans="1:7" x14ac:dyDescent="0.3">
      <c r="A773" s="11" t="s">
        <v>317</v>
      </c>
      <c r="B773" s="1" t="s">
        <v>1093</v>
      </c>
      <c r="C773" s="1" t="s">
        <v>6</v>
      </c>
      <c r="D773" s="1">
        <v>3</v>
      </c>
      <c r="E773" s="6">
        <v>679</v>
      </c>
      <c r="F773" s="6">
        <v>2037</v>
      </c>
      <c r="G773" s="2" t="s">
        <v>19</v>
      </c>
    </row>
    <row r="774" spans="1:7" x14ac:dyDescent="0.3">
      <c r="A774" s="11"/>
      <c r="B774" s="1" t="s">
        <v>1094</v>
      </c>
      <c r="C774" s="1" t="s">
        <v>30</v>
      </c>
      <c r="D774" s="1">
        <v>3</v>
      </c>
      <c r="E774" s="6">
        <v>276</v>
      </c>
      <c r="F774" s="6">
        <v>828</v>
      </c>
      <c r="G774" s="2" t="s">
        <v>33</v>
      </c>
    </row>
    <row r="775" spans="1:7" x14ac:dyDescent="0.3">
      <c r="A775" s="11" t="s">
        <v>441</v>
      </c>
      <c r="B775" s="1" t="s">
        <v>1095</v>
      </c>
      <c r="C775" s="1" t="s">
        <v>24</v>
      </c>
      <c r="D775" s="1">
        <v>2</v>
      </c>
      <c r="E775" s="6">
        <v>274</v>
      </c>
      <c r="F775" s="6">
        <v>548</v>
      </c>
      <c r="G775" s="2" t="s">
        <v>27</v>
      </c>
    </row>
    <row r="776" spans="1:7" x14ac:dyDescent="0.3">
      <c r="A776" s="11" t="s">
        <v>1096</v>
      </c>
      <c r="B776" s="1" t="s">
        <v>1097</v>
      </c>
      <c r="C776" s="1" t="s">
        <v>18</v>
      </c>
      <c r="D776" s="1">
        <v>2</v>
      </c>
      <c r="E776" s="6">
        <v>186</v>
      </c>
      <c r="F776" s="6">
        <v>372</v>
      </c>
      <c r="G776" s="2" t="s">
        <v>33</v>
      </c>
    </row>
    <row r="777" spans="1:7" x14ac:dyDescent="0.3">
      <c r="A777" s="11" t="s">
        <v>51</v>
      </c>
      <c r="B777" s="1" t="s">
        <v>1098</v>
      </c>
      <c r="C777" s="1" t="s">
        <v>18</v>
      </c>
      <c r="D777" s="1">
        <v>3</v>
      </c>
      <c r="E777" s="6">
        <v>539</v>
      </c>
      <c r="F777" s="6">
        <v>1617</v>
      </c>
      <c r="G777" s="2" t="s">
        <v>27</v>
      </c>
    </row>
    <row r="778" spans="1:7" x14ac:dyDescent="0.3">
      <c r="A778" s="11" t="s">
        <v>1099</v>
      </c>
      <c r="B778" s="1" t="s">
        <v>1100</v>
      </c>
      <c r="C778" s="1" t="s">
        <v>65</v>
      </c>
      <c r="D778" s="1">
        <v>4</v>
      </c>
      <c r="E778" s="6">
        <v>206</v>
      </c>
      <c r="F778" s="6">
        <v>824</v>
      </c>
      <c r="G778" s="2"/>
    </row>
    <row r="779" spans="1:7" x14ac:dyDescent="0.3">
      <c r="A779" s="11" t="s">
        <v>71</v>
      </c>
      <c r="B779" s="1" t="s">
        <v>1101</v>
      </c>
      <c r="C779" s="1" t="s">
        <v>14</v>
      </c>
      <c r="D779" s="1">
        <v>2</v>
      </c>
      <c r="E779" s="6">
        <v>515</v>
      </c>
      <c r="F779" s="6">
        <v>1030</v>
      </c>
      <c r="G779" s="2" t="s">
        <v>19</v>
      </c>
    </row>
    <row r="780" spans="1:7" x14ac:dyDescent="0.3">
      <c r="A780" s="11" t="s">
        <v>1102</v>
      </c>
      <c r="B780" s="1" t="s">
        <v>1103</v>
      </c>
      <c r="C780" s="1" t="s">
        <v>68</v>
      </c>
      <c r="D780" s="1">
        <v>2</v>
      </c>
      <c r="E780" s="6">
        <v>815</v>
      </c>
      <c r="F780" s="6">
        <v>1630</v>
      </c>
      <c r="G780" s="2" t="s">
        <v>33</v>
      </c>
    </row>
    <row r="781" spans="1:7" x14ac:dyDescent="0.3">
      <c r="A781" s="11"/>
      <c r="B781" s="1" t="s">
        <v>1104</v>
      </c>
      <c r="C781" s="1"/>
      <c r="D781" s="1">
        <v>2</v>
      </c>
      <c r="E781" s="6">
        <v>670</v>
      </c>
      <c r="F781" s="6">
        <v>1340</v>
      </c>
      <c r="G781" s="2" t="s">
        <v>27</v>
      </c>
    </row>
    <row r="782" spans="1:7" x14ac:dyDescent="0.3">
      <c r="A782" s="11" t="s">
        <v>1052</v>
      </c>
      <c r="B782" s="1" t="s">
        <v>1105</v>
      </c>
      <c r="C782" s="1" t="s">
        <v>68</v>
      </c>
      <c r="D782" s="1">
        <v>2</v>
      </c>
      <c r="E782" s="6">
        <v>432</v>
      </c>
      <c r="F782" s="6">
        <v>864</v>
      </c>
      <c r="G782" s="2" t="s">
        <v>19</v>
      </c>
    </row>
    <row r="783" spans="1:7" x14ac:dyDescent="0.3">
      <c r="A783" s="11" t="s">
        <v>83</v>
      </c>
      <c r="B783" s="1" t="s">
        <v>1106</v>
      </c>
      <c r="C783" s="1"/>
      <c r="D783" s="1">
        <v>1</v>
      </c>
      <c r="E783" s="6">
        <v>475</v>
      </c>
      <c r="F783" s="6">
        <v>475</v>
      </c>
      <c r="G783" s="2" t="s">
        <v>15</v>
      </c>
    </row>
    <row r="784" spans="1:7" x14ac:dyDescent="0.3">
      <c r="A784" s="11" t="s">
        <v>689</v>
      </c>
      <c r="B784" s="1" t="s">
        <v>1107</v>
      </c>
      <c r="C784" s="1"/>
      <c r="D784" s="1">
        <v>3</v>
      </c>
      <c r="E784" s="6">
        <v>768</v>
      </c>
      <c r="F784" s="6">
        <v>2304</v>
      </c>
      <c r="G784" s="2" t="s">
        <v>7</v>
      </c>
    </row>
    <row r="785" spans="1:7" x14ac:dyDescent="0.3">
      <c r="A785" s="11" t="s">
        <v>614</v>
      </c>
      <c r="B785" s="1" t="s">
        <v>1108</v>
      </c>
      <c r="C785" s="1" t="s">
        <v>18</v>
      </c>
      <c r="D785" s="1">
        <v>1</v>
      </c>
      <c r="E785" s="6">
        <v>612</v>
      </c>
      <c r="F785" s="6">
        <v>612</v>
      </c>
      <c r="G785" s="2" t="s">
        <v>33</v>
      </c>
    </row>
    <row r="786" spans="1:7" x14ac:dyDescent="0.3">
      <c r="A786" s="11" t="s">
        <v>57</v>
      </c>
      <c r="B786" s="1" t="s">
        <v>1109</v>
      </c>
      <c r="C786" s="1" t="s">
        <v>14</v>
      </c>
      <c r="D786" s="1">
        <v>5</v>
      </c>
      <c r="E786" s="6">
        <v>984</v>
      </c>
      <c r="F786" s="6">
        <v>4920</v>
      </c>
      <c r="G786" s="2" t="s">
        <v>33</v>
      </c>
    </row>
    <row r="787" spans="1:7" x14ac:dyDescent="0.3">
      <c r="A787" s="11" t="s">
        <v>523</v>
      </c>
      <c r="B787" s="1" t="s">
        <v>1110</v>
      </c>
      <c r="C787" s="1" t="s">
        <v>18</v>
      </c>
      <c r="D787" s="1">
        <v>5</v>
      </c>
      <c r="E787" s="6">
        <v>532</v>
      </c>
      <c r="F787" s="6">
        <v>2660</v>
      </c>
      <c r="G787" s="2" t="s">
        <v>7</v>
      </c>
    </row>
    <row r="788" spans="1:7" x14ac:dyDescent="0.3">
      <c r="A788" s="11" t="s">
        <v>554</v>
      </c>
      <c r="B788" s="1" t="s">
        <v>1111</v>
      </c>
      <c r="C788" s="1" t="s">
        <v>79</v>
      </c>
      <c r="D788" s="1">
        <v>6</v>
      </c>
      <c r="E788" s="6">
        <v>825</v>
      </c>
      <c r="F788" s="6">
        <v>4950</v>
      </c>
      <c r="G788" s="2" t="s">
        <v>19</v>
      </c>
    </row>
    <row r="789" spans="1:7" x14ac:dyDescent="0.3">
      <c r="A789" s="11" t="s">
        <v>908</v>
      </c>
      <c r="B789" s="1" t="s">
        <v>1112</v>
      </c>
      <c r="C789" s="1" t="s">
        <v>24</v>
      </c>
      <c r="D789" s="1" t="e">
        <v>#DIV/0!</v>
      </c>
      <c r="E789" s="6" t="e">
        <v>#DIV/0!</v>
      </c>
      <c r="F789" s="6">
        <v>3000</v>
      </c>
      <c r="G789" s="2" t="s">
        <v>19</v>
      </c>
    </row>
    <row r="790" spans="1:7" x14ac:dyDescent="0.3">
      <c r="A790" s="11" t="s">
        <v>920</v>
      </c>
      <c r="B790" s="1" t="s">
        <v>1113</v>
      </c>
      <c r="C790" s="1" t="s">
        <v>14</v>
      </c>
      <c r="D790" s="1">
        <v>1</v>
      </c>
      <c r="E790" s="6">
        <v>871</v>
      </c>
      <c r="F790" s="6">
        <v>871</v>
      </c>
      <c r="G790" s="2" t="s">
        <v>33</v>
      </c>
    </row>
    <row r="791" spans="1:7" x14ac:dyDescent="0.3">
      <c r="A791" s="11" t="s">
        <v>908</v>
      </c>
      <c r="B791" s="1" t="s">
        <v>1114</v>
      </c>
      <c r="C791" s="1" t="s">
        <v>10</v>
      </c>
      <c r="D791" s="1">
        <v>6</v>
      </c>
      <c r="E791" s="6">
        <v>730</v>
      </c>
      <c r="F791" s="6">
        <v>4380</v>
      </c>
      <c r="G791" s="2" t="s">
        <v>11</v>
      </c>
    </row>
    <row r="792" spans="1:7" x14ac:dyDescent="0.3">
      <c r="A792" s="11" t="s">
        <v>400</v>
      </c>
      <c r="B792" s="1" t="s">
        <v>1115</v>
      </c>
      <c r="C792" s="1" t="s">
        <v>30</v>
      </c>
      <c r="D792" s="1">
        <v>0</v>
      </c>
      <c r="E792" s="6">
        <v>895</v>
      </c>
      <c r="F792" s="6">
        <v>0</v>
      </c>
      <c r="G792" s="2" t="s">
        <v>33</v>
      </c>
    </row>
    <row r="793" spans="1:7" x14ac:dyDescent="0.3">
      <c r="A793" s="11" t="s">
        <v>480</v>
      </c>
      <c r="B793" s="1" t="s">
        <v>1116</v>
      </c>
      <c r="C793" s="1" t="s">
        <v>24</v>
      </c>
      <c r="D793" s="1">
        <v>5</v>
      </c>
      <c r="E793" s="6">
        <v>273</v>
      </c>
      <c r="F793" s="6">
        <v>1365</v>
      </c>
      <c r="G793" s="2" t="s">
        <v>27</v>
      </c>
    </row>
    <row r="794" spans="1:7" x14ac:dyDescent="0.3">
      <c r="A794" s="11" t="s">
        <v>215</v>
      </c>
      <c r="B794" s="1" t="s">
        <v>1117</v>
      </c>
      <c r="C794" s="1" t="s">
        <v>14</v>
      </c>
      <c r="D794" s="1">
        <v>2</v>
      </c>
      <c r="E794" s="6">
        <v>830</v>
      </c>
      <c r="F794" s="6">
        <v>1660</v>
      </c>
      <c r="G794" s="2" t="s">
        <v>15</v>
      </c>
    </row>
    <row r="795" spans="1:7" x14ac:dyDescent="0.3">
      <c r="A795" s="11" t="s">
        <v>1118</v>
      </c>
      <c r="B795" s="1" t="s">
        <v>1119</v>
      </c>
      <c r="C795" s="1" t="s">
        <v>10</v>
      </c>
      <c r="D795" s="1">
        <v>5</v>
      </c>
      <c r="E795" s="6">
        <v>303</v>
      </c>
      <c r="F795" s="6">
        <v>1515</v>
      </c>
      <c r="G795" s="2" t="s">
        <v>27</v>
      </c>
    </row>
    <row r="796" spans="1:7" x14ac:dyDescent="0.3">
      <c r="A796" s="11"/>
      <c r="B796" s="1" t="s">
        <v>1120</v>
      </c>
      <c r="C796" s="1" t="s">
        <v>10</v>
      </c>
      <c r="D796" s="1">
        <v>4</v>
      </c>
      <c r="E796" s="6">
        <v>746</v>
      </c>
      <c r="F796" s="6">
        <v>2984</v>
      </c>
      <c r="G796" s="2" t="s">
        <v>11</v>
      </c>
    </row>
    <row r="797" spans="1:7" x14ac:dyDescent="0.3">
      <c r="A797" s="11" t="s">
        <v>390</v>
      </c>
      <c r="B797" s="1" t="s">
        <v>1121</v>
      </c>
      <c r="C797" s="1" t="s">
        <v>30</v>
      </c>
      <c r="D797" s="1">
        <v>2</v>
      </c>
      <c r="E797" s="6">
        <v>822</v>
      </c>
      <c r="F797" s="6">
        <v>1644</v>
      </c>
      <c r="G797" s="2" t="s">
        <v>19</v>
      </c>
    </row>
    <row r="798" spans="1:7" x14ac:dyDescent="0.3">
      <c r="A798" s="11" t="s">
        <v>98</v>
      </c>
      <c r="B798" s="1" t="s">
        <v>1122</v>
      </c>
      <c r="C798" s="1" t="s">
        <v>14</v>
      </c>
      <c r="D798" s="1">
        <v>2</v>
      </c>
      <c r="E798" s="6">
        <v>660</v>
      </c>
      <c r="F798" s="6">
        <v>1320</v>
      </c>
      <c r="G798" s="2" t="s">
        <v>27</v>
      </c>
    </row>
    <row r="799" spans="1:7" x14ac:dyDescent="0.3">
      <c r="A799" s="11" t="s">
        <v>689</v>
      </c>
      <c r="B799" s="1" t="s">
        <v>1123</v>
      </c>
      <c r="C799" s="1" t="s">
        <v>24</v>
      </c>
      <c r="D799" s="1">
        <v>2</v>
      </c>
      <c r="E799" s="6">
        <v>944</v>
      </c>
      <c r="F799" s="6">
        <v>1888</v>
      </c>
      <c r="G799" s="2" t="s">
        <v>7</v>
      </c>
    </row>
    <row r="800" spans="1:7" x14ac:dyDescent="0.3">
      <c r="A800" s="11" t="s">
        <v>397</v>
      </c>
      <c r="B800" s="1" t="s">
        <v>1124</v>
      </c>
      <c r="C800" s="1" t="s">
        <v>65</v>
      </c>
      <c r="D800" s="1">
        <v>6</v>
      </c>
      <c r="E800" s="6">
        <v>856</v>
      </c>
      <c r="F800" s="6">
        <v>5136</v>
      </c>
      <c r="G800" s="2"/>
    </row>
    <row r="801" spans="1:7" x14ac:dyDescent="0.3">
      <c r="A801" s="11" t="s">
        <v>144</v>
      </c>
      <c r="B801" s="1" t="s">
        <v>1125</v>
      </c>
      <c r="C801" s="1" t="s">
        <v>6</v>
      </c>
      <c r="D801" s="1">
        <v>5</v>
      </c>
      <c r="E801" s="6">
        <v>133</v>
      </c>
      <c r="F801" s="6">
        <v>665</v>
      </c>
      <c r="G801" s="2" t="s">
        <v>19</v>
      </c>
    </row>
    <row r="802" spans="1:7" x14ac:dyDescent="0.3">
      <c r="A802" s="11" t="s">
        <v>1017</v>
      </c>
      <c r="B802" s="1" t="s">
        <v>1126</v>
      </c>
      <c r="C802" s="1" t="s">
        <v>10</v>
      </c>
      <c r="D802" s="1">
        <v>2</v>
      </c>
      <c r="E802" s="6">
        <v>588</v>
      </c>
      <c r="F802" s="6">
        <v>1176</v>
      </c>
      <c r="G802" s="2"/>
    </row>
    <row r="803" spans="1:7" x14ac:dyDescent="0.3">
      <c r="A803" s="11" t="s">
        <v>328</v>
      </c>
      <c r="B803" s="1" t="s">
        <v>1127</v>
      </c>
      <c r="C803" s="1" t="s">
        <v>68</v>
      </c>
      <c r="D803" s="1">
        <v>6</v>
      </c>
      <c r="E803" s="6">
        <v>507</v>
      </c>
      <c r="F803" s="6">
        <v>3042</v>
      </c>
      <c r="G803" s="2" t="s">
        <v>27</v>
      </c>
    </row>
    <row r="804" spans="1:7" x14ac:dyDescent="0.3">
      <c r="A804" s="11" t="s">
        <v>1078</v>
      </c>
      <c r="B804" s="1" t="s">
        <v>1128</v>
      </c>
      <c r="C804" s="1" t="s">
        <v>14</v>
      </c>
      <c r="D804" s="1" t="e">
        <v>#DIV/0!</v>
      </c>
      <c r="E804" s="6" t="e">
        <v>#DIV/0!</v>
      </c>
      <c r="F804" s="6">
        <v>2360</v>
      </c>
      <c r="G804" s="2" t="s">
        <v>11</v>
      </c>
    </row>
    <row r="805" spans="1:7" x14ac:dyDescent="0.3">
      <c r="A805" s="11" t="s">
        <v>439</v>
      </c>
      <c r="B805" s="1" t="s">
        <v>1129</v>
      </c>
      <c r="C805" s="1" t="s">
        <v>65</v>
      </c>
      <c r="D805" s="1" t="e">
        <v>#DIV/0!</v>
      </c>
      <c r="E805" s="6" t="e">
        <v>#DIV/0!</v>
      </c>
      <c r="F805" s="6" t="e">
        <v>#DIV/0!</v>
      </c>
      <c r="G805" s="2" t="s">
        <v>15</v>
      </c>
    </row>
    <row r="806" spans="1:7" x14ac:dyDescent="0.3">
      <c r="A806" s="11"/>
      <c r="B806" s="1" t="s">
        <v>1130</v>
      </c>
      <c r="C806" s="1" t="s">
        <v>65</v>
      </c>
      <c r="D806" s="1">
        <v>4</v>
      </c>
      <c r="E806" s="6">
        <v>420</v>
      </c>
      <c r="F806" s="6">
        <v>1680</v>
      </c>
      <c r="G806" s="2"/>
    </row>
    <row r="807" spans="1:7" x14ac:dyDescent="0.3">
      <c r="A807" s="11" t="s">
        <v>765</v>
      </c>
      <c r="B807" s="1" t="s">
        <v>1131</v>
      </c>
      <c r="C807" s="1" t="s">
        <v>65</v>
      </c>
      <c r="D807" s="1">
        <v>3</v>
      </c>
      <c r="E807" s="6">
        <v>129</v>
      </c>
      <c r="F807" s="6">
        <v>387</v>
      </c>
      <c r="G807" s="2"/>
    </row>
    <row r="808" spans="1:7" x14ac:dyDescent="0.3">
      <c r="A808" s="11" t="s">
        <v>179</v>
      </c>
      <c r="B808" s="1" t="s">
        <v>1132</v>
      </c>
      <c r="C808" s="1" t="s">
        <v>79</v>
      </c>
      <c r="D808" s="1">
        <v>6</v>
      </c>
      <c r="E808" s="6">
        <v>989</v>
      </c>
      <c r="F808" s="6">
        <v>5934</v>
      </c>
      <c r="G808" s="2" t="s">
        <v>33</v>
      </c>
    </row>
    <row r="809" spans="1:7" x14ac:dyDescent="0.3">
      <c r="A809" s="11" t="s">
        <v>181</v>
      </c>
      <c r="B809" s="1" t="s">
        <v>1133</v>
      </c>
      <c r="C809" s="1" t="s">
        <v>24</v>
      </c>
      <c r="D809" s="1">
        <v>6</v>
      </c>
      <c r="E809" s="6">
        <v>627</v>
      </c>
      <c r="F809" s="6">
        <v>3762</v>
      </c>
      <c r="G809" s="2" t="s">
        <v>11</v>
      </c>
    </row>
    <row r="810" spans="1:7" x14ac:dyDescent="0.3">
      <c r="A810" s="11" t="s">
        <v>232</v>
      </c>
      <c r="B810" s="1" t="s">
        <v>1134</v>
      </c>
      <c r="C810" s="1" t="s">
        <v>10</v>
      </c>
      <c r="D810" s="1">
        <v>2</v>
      </c>
      <c r="E810" s="6">
        <v>164</v>
      </c>
      <c r="F810" s="6">
        <v>328</v>
      </c>
      <c r="G810" s="2" t="s">
        <v>19</v>
      </c>
    </row>
    <row r="811" spans="1:7" x14ac:dyDescent="0.3">
      <c r="A811" s="11" t="s">
        <v>1135</v>
      </c>
      <c r="B811" s="1" t="s">
        <v>1136</v>
      </c>
      <c r="C811" s="1" t="s">
        <v>14</v>
      </c>
      <c r="D811" s="1" t="e">
        <v>#DIV/0!</v>
      </c>
      <c r="E811" s="6" t="e">
        <v>#DIV/0!</v>
      </c>
      <c r="F811" s="6">
        <v>452</v>
      </c>
      <c r="G811" s="2" t="s">
        <v>7</v>
      </c>
    </row>
    <row r="812" spans="1:7" x14ac:dyDescent="0.3">
      <c r="A812" s="11" t="s">
        <v>930</v>
      </c>
      <c r="B812" s="1" t="s">
        <v>1137</v>
      </c>
      <c r="C812" s="1" t="s">
        <v>65</v>
      </c>
      <c r="D812" s="1">
        <v>5</v>
      </c>
      <c r="E812" s="6">
        <v>898</v>
      </c>
      <c r="F812" s="6">
        <v>4490</v>
      </c>
      <c r="G812" s="2" t="s">
        <v>7</v>
      </c>
    </row>
    <row r="813" spans="1:7" x14ac:dyDescent="0.3">
      <c r="A813" s="11" t="s">
        <v>390</v>
      </c>
      <c r="B813" s="1" t="s">
        <v>1138</v>
      </c>
      <c r="C813" s="1" t="s">
        <v>6</v>
      </c>
      <c r="D813" s="1">
        <v>3</v>
      </c>
      <c r="E813" s="6">
        <v>610</v>
      </c>
      <c r="F813" s="6">
        <v>1830</v>
      </c>
      <c r="G813" s="2" t="s">
        <v>19</v>
      </c>
    </row>
    <row r="814" spans="1:7" x14ac:dyDescent="0.3">
      <c r="A814" s="11" t="s">
        <v>749</v>
      </c>
      <c r="B814" s="1" t="s">
        <v>1139</v>
      </c>
      <c r="C814" s="1" t="s">
        <v>6</v>
      </c>
      <c r="D814" s="1">
        <v>6</v>
      </c>
      <c r="E814" s="6">
        <v>974</v>
      </c>
      <c r="F814" s="6">
        <v>5844</v>
      </c>
      <c r="G814" s="2"/>
    </row>
    <row r="815" spans="1:7" x14ac:dyDescent="0.3">
      <c r="A815" s="11" t="s">
        <v>205</v>
      </c>
      <c r="B815" s="1" t="s">
        <v>1140</v>
      </c>
      <c r="C815" s="1" t="s">
        <v>38</v>
      </c>
      <c r="D815" s="1">
        <v>4</v>
      </c>
      <c r="E815" s="6">
        <v>567</v>
      </c>
      <c r="F815" s="6">
        <v>2268</v>
      </c>
      <c r="G815" s="2" t="s">
        <v>11</v>
      </c>
    </row>
    <row r="816" spans="1:7" x14ac:dyDescent="0.3">
      <c r="A816" s="11" t="s">
        <v>87</v>
      </c>
      <c r="B816" s="1" t="s">
        <v>1141</v>
      </c>
      <c r="C816" s="1"/>
      <c r="D816" s="1" t="e">
        <v>#DIV/0!</v>
      </c>
      <c r="E816" s="6" t="e">
        <v>#DIV/0!</v>
      </c>
      <c r="F816" s="6">
        <v>514</v>
      </c>
      <c r="G816" s="2" t="s">
        <v>33</v>
      </c>
    </row>
    <row r="817" spans="1:7" x14ac:dyDescent="0.3">
      <c r="A817" s="11" t="s">
        <v>947</v>
      </c>
      <c r="B817" s="1" t="s">
        <v>1142</v>
      </c>
      <c r="C817" s="1" t="s">
        <v>6</v>
      </c>
      <c r="D817" s="1">
        <v>5</v>
      </c>
      <c r="E817" s="6">
        <v>636</v>
      </c>
      <c r="F817" s="6">
        <v>3180</v>
      </c>
      <c r="G817" s="2" t="s">
        <v>33</v>
      </c>
    </row>
    <row r="818" spans="1:7" x14ac:dyDescent="0.3">
      <c r="A818" s="11" t="s">
        <v>1096</v>
      </c>
      <c r="B818" s="1" t="s">
        <v>1143</v>
      </c>
      <c r="C818" s="1" t="s">
        <v>68</v>
      </c>
      <c r="D818" s="1">
        <v>2</v>
      </c>
      <c r="E818" s="6">
        <v>0</v>
      </c>
      <c r="F818" s="6">
        <v>0</v>
      </c>
      <c r="G818" s="2" t="s">
        <v>33</v>
      </c>
    </row>
    <row r="819" spans="1:7" x14ac:dyDescent="0.3">
      <c r="A819" s="11" t="s">
        <v>844</v>
      </c>
      <c r="B819" s="1" t="s">
        <v>1144</v>
      </c>
      <c r="C819" s="1" t="s">
        <v>10</v>
      </c>
      <c r="D819" s="1">
        <v>3</v>
      </c>
      <c r="E819" s="6">
        <v>203</v>
      </c>
      <c r="F819" s="6">
        <v>609</v>
      </c>
      <c r="G819" s="2" t="s">
        <v>33</v>
      </c>
    </row>
    <row r="820" spans="1:7" x14ac:dyDescent="0.3">
      <c r="A820" s="11" t="s">
        <v>1145</v>
      </c>
      <c r="B820" s="1" t="s">
        <v>1146</v>
      </c>
      <c r="C820" s="1" t="s">
        <v>24</v>
      </c>
      <c r="D820" s="1">
        <v>4</v>
      </c>
      <c r="E820" s="6">
        <v>218</v>
      </c>
      <c r="F820" s="6">
        <v>872</v>
      </c>
      <c r="G820" s="2" t="s">
        <v>7</v>
      </c>
    </row>
    <row r="821" spans="1:7" x14ac:dyDescent="0.3">
      <c r="A821" s="11" t="s">
        <v>368</v>
      </c>
      <c r="B821" s="1" t="s">
        <v>1147</v>
      </c>
      <c r="C821" s="1" t="s">
        <v>24</v>
      </c>
      <c r="D821" s="1">
        <v>2</v>
      </c>
      <c r="E821" s="6">
        <v>385</v>
      </c>
      <c r="F821" s="6">
        <v>770</v>
      </c>
      <c r="G821" s="2" t="s">
        <v>15</v>
      </c>
    </row>
    <row r="822" spans="1:7" x14ac:dyDescent="0.3">
      <c r="A822" s="11" t="s">
        <v>894</v>
      </c>
      <c r="B822" s="1" t="s">
        <v>1148</v>
      </c>
      <c r="C822" s="1" t="s">
        <v>68</v>
      </c>
      <c r="D822" s="1">
        <v>3</v>
      </c>
      <c r="E822" s="6">
        <v>924</v>
      </c>
      <c r="F822" s="6">
        <v>2772</v>
      </c>
      <c r="G822" s="2" t="s">
        <v>11</v>
      </c>
    </row>
    <row r="823" spans="1:7" x14ac:dyDescent="0.3">
      <c r="A823" s="11" t="s">
        <v>63</v>
      </c>
      <c r="B823" s="1" t="s">
        <v>1149</v>
      </c>
      <c r="C823" s="1" t="s">
        <v>14</v>
      </c>
      <c r="D823" s="1">
        <v>6</v>
      </c>
      <c r="E823" s="6">
        <v>582</v>
      </c>
      <c r="F823" s="6">
        <v>3492</v>
      </c>
      <c r="G823" s="2" t="s">
        <v>7</v>
      </c>
    </row>
    <row r="824" spans="1:7" x14ac:dyDescent="0.3">
      <c r="A824" s="11" t="s">
        <v>994</v>
      </c>
      <c r="B824" s="1" t="s">
        <v>1150</v>
      </c>
      <c r="C824" s="1"/>
      <c r="D824" s="1">
        <v>5</v>
      </c>
      <c r="E824" s="6">
        <v>502</v>
      </c>
      <c r="F824" s="6">
        <v>2510</v>
      </c>
      <c r="G824" s="2" t="s">
        <v>19</v>
      </c>
    </row>
    <row r="825" spans="1:7" x14ac:dyDescent="0.3">
      <c r="A825" s="11"/>
      <c r="B825" s="1" t="s">
        <v>1151</v>
      </c>
      <c r="C825" s="1" t="s">
        <v>18</v>
      </c>
      <c r="D825" s="1">
        <v>4</v>
      </c>
      <c r="E825" s="6">
        <v>169</v>
      </c>
      <c r="F825" s="6">
        <v>676</v>
      </c>
      <c r="G825" s="2" t="s">
        <v>19</v>
      </c>
    </row>
    <row r="826" spans="1:7" x14ac:dyDescent="0.3">
      <c r="A826" s="11" t="s">
        <v>247</v>
      </c>
      <c r="B826" s="1" t="s">
        <v>1152</v>
      </c>
      <c r="C826" s="1" t="s">
        <v>6</v>
      </c>
      <c r="D826" s="1">
        <v>4</v>
      </c>
      <c r="E826" s="6">
        <v>746</v>
      </c>
      <c r="F826" s="6">
        <v>2984</v>
      </c>
      <c r="G826" s="2" t="s">
        <v>33</v>
      </c>
    </row>
    <row r="827" spans="1:7" x14ac:dyDescent="0.3">
      <c r="A827" s="11"/>
      <c r="B827" s="1" t="s">
        <v>1153</v>
      </c>
      <c r="C827" s="1"/>
      <c r="D827" s="1">
        <v>3</v>
      </c>
      <c r="E827" s="6">
        <v>260</v>
      </c>
      <c r="F827" s="6">
        <v>780</v>
      </c>
      <c r="G827" s="2" t="s">
        <v>11</v>
      </c>
    </row>
    <row r="828" spans="1:7" x14ac:dyDescent="0.3">
      <c r="A828" s="11" t="s">
        <v>69</v>
      </c>
      <c r="B828" s="1" t="s">
        <v>1154</v>
      </c>
      <c r="C828" s="1" t="s">
        <v>38</v>
      </c>
      <c r="D828" s="1">
        <v>4</v>
      </c>
      <c r="E828" s="6">
        <v>784</v>
      </c>
      <c r="F828" s="6">
        <v>3136</v>
      </c>
      <c r="G828" s="2"/>
    </row>
    <row r="829" spans="1:7" x14ac:dyDescent="0.3">
      <c r="A829" s="11" t="s">
        <v>460</v>
      </c>
      <c r="B829" s="1" t="s">
        <v>1155</v>
      </c>
      <c r="C829" s="1" t="s">
        <v>68</v>
      </c>
      <c r="D829" s="1">
        <v>5</v>
      </c>
      <c r="E829" s="6">
        <v>647</v>
      </c>
      <c r="F829" s="6">
        <v>3235</v>
      </c>
      <c r="G829" s="2" t="s">
        <v>7</v>
      </c>
    </row>
    <row r="830" spans="1:7" x14ac:dyDescent="0.3">
      <c r="A830" s="11" t="s">
        <v>104</v>
      </c>
      <c r="B830" s="1" t="s">
        <v>1156</v>
      </c>
      <c r="C830" s="1" t="s">
        <v>68</v>
      </c>
      <c r="D830" s="1">
        <v>5</v>
      </c>
      <c r="E830" s="6">
        <v>550</v>
      </c>
      <c r="F830" s="6">
        <v>2750</v>
      </c>
      <c r="G830" s="2" t="s">
        <v>11</v>
      </c>
    </row>
    <row r="831" spans="1:7" x14ac:dyDescent="0.3">
      <c r="A831" s="11" t="s">
        <v>193</v>
      </c>
      <c r="B831" s="1" t="s">
        <v>1157</v>
      </c>
      <c r="C831" s="1" t="s">
        <v>68</v>
      </c>
      <c r="D831" s="1">
        <v>4</v>
      </c>
      <c r="E831" s="6">
        <v>143</v>
      </c>
      <c r="F831" s="6">
        <v>572</v>
      </c>
      <c r="G831" s="2" t="s">
        <v>33</v>
      </c>
    </row>
    <row r="832" spans="1:7" x14ac:dyDescent="0.3">
      <c r="A832" s="11" t="s">
        <v>763</v>
      </c>
      <c r="B832" s="1" t="s">
        <v>1158</v>
      </c>
      <c r="C832" s="1" t="s">
        <v>18</v>
      </c>
      <c r="D832" s="1">
        <v>2</v>
      </c>
      <c r="E832" s="6">
        <v>970</v>
      </c>
      <c r="F832" s="6">
        <v>1940</v>
      </c>
      <c r="G832" s="2" t="s">
        <v>11</v>
      </c>
    </row>
    <row r="833" spans="1:7" x14ac:dyDescent="0.3">
      <c r="A833" s="11" t="s">
        <v>1118</v>
      </c>
      <c r="B833" s="1" t="s">
        <v>1159</v>
      </c>
      <c r="C833" s="1" t="s">
        <v>30</v>
      </c>
      <c r="D833" s="1">
        <v>2</v>
      </c>
      <c r="E833" s="6">
        <v>572</v>
      </c>
      <c r="F833" s="6">
        <v>1144</v>
      </c>
      <c r="G833" s="2" t="s">
        <v>11</v>
      </c>
    </row>
    <row r="834" spans="1:7" x14ac:dyDescent="0.3">
      <c r="A834" s="11" t="s">
        <v>675</v>
      </c>
      <c r="B834" s="1" t="s">
        <v>1160</v>
      </c>
      <c r="C834" s="1"/>
      <c r="D834" s="1">
        <v>5</v>
      </c>
      <c r="E834" s="6">
        <v>506</v>
      </c>
      <c r="F834" s="6">
        <v>2530</v>
      </c>
      <c r="G834" s="2" t="s">
        <v>15</v>
      </c>
    </row>
    <row r="835" spans="1:7" x14ac:dyDescent="0.3">
      <c r="A835" s="11" t="s">
        <v>245</v>
      </c>
      <c r="B835" s="1" t="s">
        <v>1161</v>
      </c>
      <c r="C835" s="1" t="s">
        <v>65</v>
      </c>
      <c r="D835" s="1">
        <v>2</v>
      </c>
      <c r="E835" s="6">
        <v>878</v>
      </c>
      <c r="F835" s="6">
        <v>1756</v>
      </c>
      <c r="G835" s="2" t="s">
        <v>15</v>
      </c>
    </row>
    <row r="836" spans="1:7" x14ac:dyDescent="0.3">
      <c r="A836" s="11" t="s">
        <v>59</v>
      </c>
      <c r="B836" s="1" t="s">
        <v>1162</v>
      </c>
      <c r="C836" s="1" t="s">
        <v>65</v>
      </c>
      <c r="D836" s="1">
        <v>3</v>
      </c>
      <c r="E836" s="6">
        <v>106</v>
      </c>
      <c r="F836" s="6">
        <v>318</v>
      </c>
      <c r="G836" s="2" t="s">
        <v>33</v>
      </c>
    </row>
    <row r="837" spans="1:7" x14ac:dyDescent="0.3">
      <c r="A837" s="11" t="s">
        <v>631</v>
      </c>
      <c r="B837" s="1" t="s">
        <v>1163</v>
      </c>
      <c r="C837" s="1" t="s">
        <v>14</v>
      </c>
      <c r="D837" s="1">
        <v>1</v>
      </c>
      <c r="E837" s="6">
        <v>514</v>
      </c>
      <c r="F837" s="6">
        <v>514</v>
      </c>
      <c r="G837" s="2" t="s">
        <v>15</v>
      </c>
    </row>
    <row r="838" spans="1:7" x14ac:dyDescent="0.3">
      <c r="A838" s="11" t="s">
        <v>1164</v>
      </c>
      <c r="B838" s="1" t="s">
        <v>1165</v>
      </c>
      <c r="C838" s="1" t="s">
        <v>68</v>
      </c>
      <c r="D838" s="1">
        <v>6</v>
      </c>
      <c r="E838" s="6">
        <v>185</v>
      </c>
      <c r="F838" s="6">
        <v>1110</v>
      </c>
      <c r="G838" s="2" t="s">
        <v>19</v>
      </c>
    </row>
    <row r="839" spans="1:7" x14ac:dyDescent="0.3">
      <c r="A839" s="11" t="s">
        <v>1166</v>
      </c>
      <c r="B839" s="1" t="s">
        <v>1167</v>
      </c>
      <c r="C839" s="1"/>
      <c r="D839" s="1">
        <v>4</v>
      </c>
      <c r="E839" s="6">
        <v>575</v>
      </c>
      <c r="F839" s="6">
        <v>2300</v>
      </c>
      <c r="G839" s="2"/>
    </row>
    <row r="840" spans="1:7" x14ac:dyDescent="0.3">
      <c r="A840" s="11" t="s">
        <v>208</v>
      </c>
      <c r="B840" s="1" t="s">
        <v>1168</v>
      </c>
      <c r="C840" s="1" t="s">
        <v>14</v>
      </c>
      <c r="D840" s="1">
        <v>3</v>
      </c>
      <c r="E840" s="6">
        <v>475</v>
      </c>
      <c r="F840" s="6">
        <v>1425</v>
      </c>
      <c r="G840" s="2" t="s">
        <v>15</v>
      </c>
    </row>
    <row r="841" spans="1:7" x14ac:dyDescent="0.3">
      <c r="A841" s="11" t="s">
        <v>509</v>
      </c>
      <c r="B841" s="1" t="s">
        <v>1169</v>
      </c>
      <c r="C841" s="1" t="s">
        <v>68</v>
      </c>
      <c r="D841" s="1">
        <v>5</v>
      </c>
      <c r="E841" s="6">
        <v>517</v>
      </c>
      <c r="F841" s="6">
        <v>2585</v>
      </c>
      <c r="G841" s="2" t="s">
        <v>15</v>
      </c>
    </row>
    <row r="842" spans="1:7" x14ac:dyDescent="0.3">
      <c r="A842" s="11" t="s">
        <v>745</v>
      </c>
      <c r="B842" s="1" t="s">
        <v>1170</v>
      </c>
      <c r="C842" s="1" t="s">
        <v>68</v>
      </c>
      <c r="D842" s="1">
        <v>1</v>
      </c>
      <c r="E842" s="6">
        <v>627</v>
      </c>
      <c r="F842" s="6">
        <v>627</v>
      </c>
      <c r="G842" s="2" t="s">
        <v>7</v>
      </c>
    </row>
    <row r="843" spans="1:7" x14ac:dyDescent="0.3">
      <c r="A843" s="11" t="s">
        <v>1145</v>
      </c>
      <c r="B843" s="1" t="s">
        <v>1171</v>
      </c>
      <c r="C843" s="1"/>
      <c r="D843" s="1">
        <v>6</v>
      </c>
      <c r="E843" s="6">
        <v>109</v>
      </c>
      <c r="F843" s="6">
        <v>654</v>
      </c>
      <c r="G843" s="2" t="s">
        <v>27</v>
      </c>
    </row>
    <row r="844" spans="1:7" x14ac:dyDescent="0.3">
      <c r="A844" s="11" t="s">
        <v>98</v>
      </c>
      <c r="B844" s="1" t="s">
        <v>1172</v>
      </c>
      <c r="C844" s="1" t="s">
        <v>68</v>
      </c>
      <c r="D844" s="1">
        <v>5</v>
      </c>
      <c r="E844" s="6">
        <v>622</v>
      </c>
      <c r="F844" s="6">
        <v>3110</v>
      </c>
      <c r="G844" s="2" t="s">
        <v>15</v>
      </c>
    </row>
    <row r="845" spans="1:7" x14ac:dyDescent="0.3">
      <c r="A845" s="11" t="s">
        <v>354</v>
      </c>
      <c r="B845" s="1" t="s">
        <v>1173</v>
      </c>
      <c r="C845" s="1" t="s">
        <v>6</v>
      </c>
      <c r="D845" s="1">
        <v>1</v>
      </c>
      <c r="E845" s="6">
        <v>523</v>
      </c>
      <c r="F845" s="6">
        <v>523</v>
      </c>
      <c r="G845" s="2" t="s">
        <v>11</v>
      </c>
    </row>
    <row r="846" spans="1:7" x14ac:dyDescent="0.3">
      <c r="A846" s="11" t="s">
        <v>1005</v>
      </c>
      <c r="B846" s="1" t="s">
        <v>1174</v>
      </c>
      <c r="C846" s="1" t="s">
        <v>18</v>
      </c>
      <c r="D846" s="1">
        <v>3</v>
      </c>
      <c r="E846" s="6">
        <v>738</v>
      </c>
      <c r="F846" s="6">
        <v>2214</v>
      </c>
      <c r="G846" s="2" t="s">
        <v>15</v>
      </c>
    </row>
    <row r="847" spans="1:7" x14ac:dyDescent="0.3">
      <c r="A847" s="11" t="s">
        <v>61</v>
      </c>
      <c r="B847" s="1" t="s">
        <v>1175</v>
      </c>
      <c r="C847" s="1" t="s">
        <v>18</v>
      </c>
      <c r="D847" s="1">
        <v>1</v>
      </c>
      <c r="E847" s="6">
        <v>876</v>
      </c>
      <c r="F847" s="6">
        <v>876</v>
      </c>
      <c r="G847" s="2" t="s">
        <v>27</v>
      </c>
    </row>
    <row r="848" spans="1:7" x14ac:dyDescent="0.3">
      <c r="A848" s="11" t="s">
        <v>694</v>
      </c>
      <c r="B848" s="1" t="s">
        <v>1176</v>
      </c>
      <c r="C848" s="1" t="s">
        <v>14</v>
      </c>
      <c r="D848" s="1">
        <v>2</v>
      </c>
      <c r="E848" s="6">
        <v>365</v>
      </c>
      <c r="F848" s="6">
        <v>730</v>
      </c>
      <c r="G848" s="2" t="s">
        <v>33</v>
      </c>
    </row>
    <row r="849" spans="1:7" x14ac:dyDescent="0.3">
      <c r="A849" s="11" t="s">
        <v>1177</v>
      </c>
      <c r="B849" s="1" t="s">
        <v>1178</v>
      </c>
      <c r="C849" s="1" t="s">
        <v>6</v>
      </c>
      <c r="D849" s="1">
        <v>3</v>
      </c>
      <c r="E849" s="6">
        <v>790</v>
      </c>
      <c r="F849" s="6">
        <v>2370</v>
      </c>
      <c r="G849" s="2" t="s">
        <v>33</v>
      </c>
    </row>
    <row r="850" spans="1:7" x14ac:dyDescent="0.3">
      <c r="A850" s="11" t="s">
        <v>717</v>
      </c>
      <c r="B850" s="1" t="s">
        <v>1179</v>
      </c>
      <c r="C850" s="1" t="s">
        <v>24</v>
      </c>
      <c r="D850" s="1">
        <v>4</v>
      </c>
      <c r="E850" s="6">
        <v>72</v>
      </c>
      <c r="F850" s="6">
        <v>288</v>
      </c>
      <c r="G850" s="2" t="s">
        <v>19</v>
      </c>
    </row>
    <row r="851" spans="1:7" x14ac:dyDescent="0.3">
      <c r="A851" s="11"/>
      <c r="B851" s="1" t="s">
        <v>1180</v>
      </c>
      <c r="C851" s="1" t="s">
        <v>18</v>
      </c>
      <c r="D851" s="1">
        <v>5</v>
      </c>
      <c r="E851" s="6">
        <v>455</v>
      </c>
      <c r="F851" s="6">
        <v>2275</v>
      </c>
      <c r="G851" s="2" t="s">
        <v>19</v>
      </c>
    </row>
    <row r="852" spans="1:7" x14ac:dyDescent="0.3">
      <c r="A852" s="11" t="s">
        <v>226</v>
      </c>
      <c r="B852" s="1" t="s">
        <v>1181</v>
      </c>
      <c r="C852" s="1" t="s">
        <v>24</v>
      </c>
      <c r="D852" s="1">
        <v>2</v>
      </c>
      <c r="E852" s="6">
        <v>310</v>
      </c>
      <c r="F852" s="6">
        <v>620</v>
      </c>
      <c r="G852" s="2" t="s">
        <v>15</v>
      </c>
    </row>
    <row r="853" spans="1:7" x14ac:dyDescent="0.3">
      <c r="A853" s="11" t="s">
        <v>1057</v>
      </c>
      <c r="B853" s="1" t="s">
        <v>1182</v>
      </c>
      <c r="C853" s="1" t="s">
        <v>30</v>
      </c>
      <c r="D853" s="1">
        <v>4</v>
      </c>
      <c r="E853" s="6">
        <v>0</v>
      </c>
      <c r="F853" s="6">
        <v>0</v>
      </c>
      <c r="G853" s="2" t="s">
        <v>11</v>
      </c>
    </row>
    <row r="854" spans="1:7" x14ac:dyDescent="0.3">
      <c r="A854" s="11" t="s">
        <v>499</v>
      </c>
      <c r="B854" s="1" t="s">
        <v>1183</v>
      </c>
      <c r="C854" s="1" t="s">
        <v>6</v>
      </c>
      <c r="D854" s="1">
        <v>1</v>
      </c>
      <c r="E854" s="6">
        <v>53</v>
      </c>
      <c r="F854" s="6">
        <v>53</v>
      </c>
      <c r="G854" s="2" t="s">
        <v>11</v>
      </c>
    </row>
    <row r="855" spans="1:7" x14ac:dyDescent="0.3">
      <c r="A855" s="11" t="s">
        <v>138</v>
      </c>
      <c r="B855" s="1" t="s">
        <v>1184</v>
      </c>
      <c r="C855" s="1"/>
      <c r="D855" s="1">
        <v>2</v>
      </c>
      <c r="E855" s="6">
        <v>813</v>
      </c>
      <c r="F855" s="6">
        <v>1626</v>
      </c>
      <c r="G855" s="2" t="s">
        <v>7</v>
      </c>
    </row>
    <row r="856" spans="1:7" x14ac:dyDescent="0.3">
      <c r="A856" s="11" t="s">
        <v>407</v>
      </c>
      <c r="B856" s="1" t="s">
        <v>1185</v>
      </c>
      <c r="C856" s="1" t="s">
        <v>10</v>
      </c>
      <c r="D856" s="1">
        <v>4</v>
      </c>
      <c r="E856" s="6">
        <v>273</v>
      </c>
      <c r="F856" s="6">
        <v>1092</v>
      </c>
      <c r="G856" s="2" t="s">
        <v>11</v>
      </c>
    </row>
    <row r="857" spans="1:7" x14ac:dyDescent="0.3">
      <c r="A857" s="11" t="s">
        <v>745</v>
      </c>
      <c r="B857" s="1" t="s">
        <v>1186</v>
      </c>
      <c r="C857" s="1" t="s">
        <v>38</v>
      </c>
      <c r="D857" s="1">
        <v>3</v>
      </c>
      <c r="E857" s="6">
        <v>642</v>
      </c>
      <c r="F857" s="6">
        <v>1926</v>
      </c>
      <c r="G857" s="2" t="s">
        <v>7</v>
      </c>
    </row>
    <row r="858" spans="1:7" x14ac:dyDescent="0.3">
      <c r="A858" s="11" t="s">
        <v>306</v>
      </c>
      <c r="B858" s="1" t="s">
        <v>1187</v>
      </c>
      <c r="C858" s="1" t="s">
        <v>65</v>
      </c>
      <c r="D858" s="1">
        <v>1</v>
      </c>
      <c r="E858" s="6">
        <v>124</v>
      </c>
      <c r="F858" s="6">
        <v>124</v>
      </c>
      <c r="G858" s="2" t="s">
        <v>7</v>
      </c>
    </row>
    <row r="859" spans="1:7" x14ac:dyDescent="0.3">
      <c r="A859" s="11" t="s">
        <v>554</v>
      </c>
      <c r="B859" s="1" t="s">
        <v>1188</v>
      </c>
      <c r="C859" s="1" t="s">
        <v>68</v>
      </c>
      <c r="D859" s="1">
        <v>4</v>
      </c>
      <c r="E859" s="6">
        <v>96</v>
      </c>
      <c r="F859" s="6">
        <v>384</v>
      </c>
      <c r="G859" s="2" t="s">
        <v>11</v>
      </c>
    </row>
    <row r="860" spans="1:7" x14ac:dyDescent="0.3">
      <c r="A860" s="11" t="s">
        <v>880</v>
      </c>
      <c r="B860" s="1" t="s">
        <v>1189</v>
      </c>
      <c r="C860" s="1" t="s">
        <v>65</v>
      </c>
      <c r="D860" s="1">
        <v>1</v>
      </c>
      <c r="E860" s="6">
        <v>483</v>
      </c>
      <c r="F860" s="6">
        <v>483</v>
      </c>
      <c r="G860" s="2" t="s">
        <v>11</v>
      </c>
    </row>
    <row r="861" spans="1:7" x14ac:dyDescent="0.3">
      <c r="A861" s="11" t="s">
        <v>1190</v>
      </c>
      <c r="B861" s="1" t="s">
        <v>1191</v>
      </c>
      <c r="C861" s="1"/>
      <c r="D861" s="1">
        <v>4</v>
      </c>
      <c r="E861" s="6">
        <v>402</v>
      </c>
      <c r="F861" s="6">
        <v>1608</v>
      </c>
      <c r="G861" s="2" t="s">
        <v>7</v>
      </c>
    </row>
    <row r="862" spans="1:7" x14ac:dyDescent="0.3">
      <c r="A862" s="11" t="s">
        <v>793</v>
      </c>
      <c r="B862" s="1" t="s">
        <v>1192</v>
      </c>
      <c r="C862" s="1" t="s">
        <v>10</v>
      </c>
      <c r="D862" s="1">
        <v>5</v>
      </c>
      <c r="E862" s="6">
        <v>767</v>
      </c>
      <c r="F862" s="6">
        <v>3835</v>
      </c>
      <c r="G862" s="2" t="s">
        <v>19</v>
      </c>
    </row>
    <row r="863" spans="1:7" x14ac:dyDescent="0.3">
      <c r="A863" s="11" t="s">
        <v>1073</v>
      </c>
      <c r="B863" s="1" t="s">
        <v>1193</v>
      </c>
      <c r="C863" s="1" t="s">
        <v>18</v>
      </c>
      <c r="D863" s="1">
        <v>3</v>
      </c>
      <c r="E863" s="6">
        <v>115</v>
      </c>
      <c r="F863" s="6">
        <v>345</v>
      </c>
      <c r="G863" s="2" t="s">
        <v>15</v>
      </c>
    </row>
    <row r="864" spans="1:7" x14ac:dyDescent="0.3">
      <c r="A864" s="11" t="s">
        <v>326</v>
      </c>
      <c r="B864" s="1" t="s">
        <v>1194</v>
      </c>
      <c r="C864" s="1"/>
      <c r="D864" s="1">
        <v>2</v>
      </c>
      <c r="E864" s="6">
        <v>604</v>
      </c>
      <c r="F864" s="6">
        <v>1208</v>
      </c>
      <c r="G864" s="2" t="s">
        <v>19</v>
      </c>
    </row>
    <row r="865" spans="1:7" x14ac:dyDescent="0.3">
      <c r="A865" s="11" t="s">
        <v>134</v>
      </c>
      <c r="B865" s="1" t="s">
        <v>1195</v>
      </c>
      <c r="C865" s="1" t="s">
        <v>14</v>
      </c>
      <c r="D865" s="1">
        <v>4</v>
      </c>
      <c r="E865" s="6">
        <v>111</v>
      </c>
      <c r="F865" s="6">
        <v>444</v>
      </c>
      <c r="G865" s="2"/>
    </row>
    <row r="866" spans="1:7" x14ac:dyDescent="0.3">
      <c r="A866" s="11" t="s">
        <v>1196</v>
      </c>
      <c r="B866" s="1" t="s">
        <v>1197</v>
      </c>
      <c r="C866" s="1" t="s">
        <v>65</v>
      </c>
      <c r="D866" s="1">
        <v>1</v>
      </c>
      <c r="E866" s="6">
        <v>965</v>
      </c>
      <c r="F866" s="6">
        <v>965</v>
      </c>
      <c r="G866" s="2" t="s">
        <v>11</v>
      </c>
    </row>
    <row r="867" spans="1:7" x14ac:dyDescent="0.3">
      <c r="A867" s="11" t="s">
        <v>324</v>
      </c>
      <c r="B867" s="1" t="s">
        <v>1198</v>
      </c>
      <c r="C867" s="1" t="s">
        <v>6</v>
      </c>
      <c r="D867" s="1">
        <v>0</v>
      </c>
      <c r="E867" s="6">
        <v>120</v>
      </c>
      <c r="F867" s="6">
        <v>0</v>
      </c>
      <c r="G867" s="2" t="s">
        <v>27</v>
      </c>
    </row>
    <row r="868" spans="1:7" x14ac:dyDescent="0.3">
      <c r="A868" s="11" t="s">
        <v>304</v>
      </c>
      <c r="B868" s="1" t="s">
        <v>1199</v>
      </c>
      <c r="C868" s="1" t="s">
        <v>18</v>
      </c>
      <c r="D868" s="1">
        <v>2</v>
      </c>
      <c r="E868" s="6">
        <v>533</v>
      </c>
      <c r="F868" s="6">
        <v>1066</v>
      </c>
      <c r="G868" s="2" t="s">
        <v>11</v>
      </c>
    </row>
    <row r="869" spans="1:7" x14ac:dyDescent="0.3">
      <c r="A869" s="11"/>
      <c r="B869" s="1" t="s">
        <v>1200</v>
      </c>
      <c r="C869" s="1"/>
      <c r="D869" s="1">
        <v>1</v>
      </c>
      <c r="E869" s="6">
        <v>82</v>
      </c>
      <c r="F869" s="6">
        <v>82</v>
      </c>
      <c r="G869" s="2" t="s">
        <v>7</v>
      </c>
    </row>
    <row r="870" spans="1:7" x14ac:dyDescent="0.3">
      <c r="A870" s="11" t="s">
        <v>1201</v>
      </c>
      <c r="B870" s="1" t="s">
        <v>1202</v>
      </c>
      <c r="C870" s="1" t="s">
        <v>68</v>
      </c>
      <c r="D870" s="1">
        <v>3</v>
      </c>
      <c r="E870" s="6">
        <v>343</v>
      </c>
      <c r="F870" s="6">
        <v>1029</v>
      </c>
      <c r="G870" s="2" t="s">
        <v>27</v>
      </c>
    </row>
    <row r="871" spans="1:7" x14ac:dyDescent="0.3">
      <c r="A871" s="11"/>
      <c r="B871" s="1" t="s">
        <v>1203</v>
      </c>
      <c r="C871" s="1" t="s">
        <v>18</v>
      </c>
      <c r="D871" s="1">
        <v>0</v>
      </c>
      <c r="E871" s="6">
        <v>468</v>
      </c>
      <c r="F871" s="6">
        <v>0</v>
      </c>
      <c r="G871" s="2" t="s">
        <v>27</v>
      </c>
    </row>
    <row r="872" spans="1:7" x14ac:dyDescent="0.3">
      <c r="A872" s="11" t="s">
        <v>1204</v>
      </c>
      <c r="B872" s="1" t="s">
        <v>1205</v>
      </c>
      <c r="C872" s="1" t="s">
        <v>38</v>
      </c>
      <c r="D872" s="1">
        <v>6</v>
      </c>
      <c r="E872" s="6">
        <v>234</v>
      </c>
      <c r="F872" s="6">
        <v>1404</v>
      </c>
      <c r="G872" s="2" t="s">
        <v>15</v>
      </c>
    </row>
    <row r="873" spans="1:7" x14ac:dyDescent="0.3">
      <c r="A873" s="11" t="s">
        <v>811</v>
      </c>
      <c r="B873" s="1" t="s">
        <v>1206</v>
      </c>
      <c r="C873" s="1" t="s">
        <v>6</v>
      </c>
      <c r="D873" s="1">
        <v>6</v>
      </c>
      <c r="E873" s="6">
        <v>837</v>
      </c>
      <c r="F873" s="6">
        <v>5022</v>
      </c>
      <c r="G873" s="2" t="s">
        <v>33</v>
      </c>
    </row>
    <row r="874" spans="1:7" x14ac:dyDescent="0.3">
      <c r="A874" s="11" t="s">
        <v>230</v>
      </c>
      <c r="B874" s="1" t="s">
        <v>1207</v>
      </c>
      <c r="C874" s="1" t="s">
        <v>30</v>
      </c>
      <c r="D874" s="1">
        <v>3</v>
      </c>
      <c r="E874" s="6">
        <v>188</v>
      </c>
      <c r="F874" s="6">
        <v>564</v>
      </c>
      <c r="G874" s="2" t="s">
        <v>11</v>
      </c>
    </row>
    <row r="875" spans="1:7" x14ac:dyDescent="0.3">
      <c r="A875" s="11" t="s">
        <v>98</v>
      </c>
      <c r="B875" s="1" t="s">
        <v>1208</v>
      </c>
      <c r="C875" s="1" t="s">
        <v>18</v>
      </c>
      <c r="D875" s="1">
        <v>2</v>
      </c>
      <c r="E875" s="6">
        <v>834</v>
      </c>
      <c r="F875" s="6">
        <v>1668</v>
      </c>
      <c r="G875" s="2" t="s">
        <v>15</v>
      </c>
    </row>
    <row r="876" spans="1:7" x14ac:dyDescent="0.3">
      <c r="A876" s="11" t="s">
        <v>509</v>
      </c>
      <c r="B876" s="1" t="s">
        <v>1209</v>
      </c>
      <c r="C876" s="1" t="s">
        <v>24</v>
      </c>
      <c r="D876" s="1">
        <v>2</v>
      </c>
      <c r="E876" s="6">
        <v>706</v>
      </c>
      <c r="F876" s="6">
        <v>1412</v>
      </c>
      <c r="G876" s="2" t="s">
        <v>33</v>
      </c>
    </row>
    <row r="877" spans="1:7" x14ac:dyDescent="0.3">
      <c r="A877" s="11" t="s">
        <v>77</v>
      </c>
      <c r="B877" s="1" t="s">
        <v>1210</v>
      </c>
      <c r="C877" s="1" t="s">
        <v>14</v>
      </c>
      <c r="D877" s="1">
        <v>1</v>
      </c>
      <c r="E877" s="6">
        <v>796</v>
      </c>
      <c r="F877" s="6">
        <v>796</v>
      </c>
      <c r="G877" s="2" t="s">
        <v>19</v>
      </c>
    </row>
    <row r="878" spans="1:7" x14ac:dyDescent="0.3">
      <c r="A878" s="11" t="s">
        <v>317</v>
      </c>
      <c r="B878" s="1" t="s">
        <v>1211</v>
      </c>
      <c r="C878" s="1" t="s">
        <v>24</v>
      </c>
      <c r="D878" s="1">
        <v>3</v>
      </c>
      <c r="E878" s="6">
        <v>711</v>
      </c>
      <c r="F878" s="6">
        <v>2133</v>
      </c>
      <c r="G878" s="2" t="s">
        <v>27</v>
      </c>
    </row>
    <row r="879" spans="1:7" x14ac:dyDescent="0.3">
      <c r="A879" s="11" t="s">
        <v>289</v>
      </c>
      <c r="B879" s="1" t="s">
        <v>1212</v>
      </c>
      <c r="C879" s="1" t="s">
        <v>6</v>
      </c>
      <c r="D879" s="1">
        <v>4</v>
      </c>
      <c r="E879" s="6">
        <v>480</v>
      </c>
      <c r="F879" s="6">
        <v>1920</v>
      </c>
      <c r="G879" s="2"/>
    </row>
    <row r="880" spans="1:7" x14ac:dyDescent="0.3">
      <c r="A880" s="11"/>
      <c r="B880" s="1" t="s">
        <v>1213</v>
      </c>
      <c r="C880" s="1" t="s">
        <v>10</v>
      </c>
      <c r="D880" s="1">
        <v>6</v>
      </c>
      <c r="E880" s="6">
        <v>433</v>
      </c>
      <c r="F880" s="6">
        <v>2598</v>
      </c>
      <c r="G880" s="2"/>
    </row>
    <row r="881" spans="1:7" x14ac:dyDescent="0.3">
      <c r="A881" s="11" t="s">
        <v>763</v>
      </c>
      <c r="B881" s="1" t="s">
        <v>1214</v>
      </c>
      <c r="C881" s="1" t="s">
        <v>24</v>
      </c>
      <c r="D881" s="1">
        <v>2</v>
      </c>
      <c r="E881" s="6">
        <v>962</v>
      </c>
      <c r="F881" s="6">
        <v>1924</v>
      </c>
      <c r="G881" s="2" t="s">
        <v>11</v>
      </c>
    </row>
    <row r="882" spans="1:7" x14ac:dyDescent="0.3">
      <c r="A882" s="11" t="s">
        <v>911</v>
      </c>
      <c r="B882" s="1" t="s">
        <v>1215</v>
      </c>
      <c r="C882" s="1" t="s">
        <v>14</v>
      </c>
      <c r="D882" s="1">
        <v>6</v>
      </c>
      <c r="E882" s="6">
        <v>441</v>
      </c>
      <c r="F882" s="6">
        <v>2646</v>
      </c>
      <c r="G882" s="2" t="s">
        <v>11</v>
      </c>
    </row>
    <row r="883" spans="1:7" x14ac:dyDescent="0.3">
      <c r="A883" s="11" t="s">
        <v>193</v>
      </c>
      <c r="B883" s="1" t="s">
        <v>1216</v>
      </c>
      <c r="C883" s="1" t="s">
        <v>68</v>
      </c>
      <c r="D883" s="1">
        <v>4</v>
      </c>
      <c r="E883" s="6">
        <v>509</v>
      </c>
      <c r="F883" s="6">
        <v>2036</v>
      </c>
      <c r="G883" s="2" t="s">
        <v>7</v>
      </c>
    </row>
    <row r="884" spans="1:7" x14ac:dyDescent="0.3">
      <c r="A884" s="11" t="s">
        <v>166</v>
      </c>
      <c r="B884" s="1" t="s">
        <v>1217</v>
      </c>
      <c r="C884" s="1" t="s">
        <v>68</v>
      </c>
      <c r="D884" s="1">
        <v>4</v>
      </c>
      <c r="E884" s="6">
        <v>0</v>
      </c>
      <c r="F884" s="6">
        <v>0</v>
      </c>
      <c r="G884" s="2" t="s">
        <v>19</v>
      </c>
    </row>
    <row r="885" spans="1:7" x14ac:dyDescent="0.3">
      <c r="A885" s="11" t="s">
        <v>162</v>
      </c>
      <c r="B885" s="1" t="s">
        <v>1218</v>
      </c>
      <c r="C885" s="1" t="s">
        <v>14</v>
      </c>
      <c r="D885" s="1">
        <v>5</v>
      </c>
      <c r="E885" s="6">
        <v>0</v>
      </c>
      <c r="F885" s="6">
        <v>0</v>
      </c>
      <c r="G885" s="2" t="s">
        <v>19</v>
      </c>
    </row>
    <row r="886" spans="1:7" x14ac:dyDescent="0.3">
      <c r="A886" s="11" t="s">
        <v>312</v>
      </c>
      <c r="B886" s="1" t="s">
        <v>1219</v>
      </c>
      <c r="C886" s="1"/>
      <c r="D886" s="1">
        <v>1</v>
      </c>
      <c r="E886" s="6">
        <v>978</v>
      </c>
      <c r="F886" s="6">
        <v>978</v>
      </c>
      <c r="G886" s="2" t="s">
        <v>15</v>
      </c>
    </row>
    <row r="887" spans="1:7" x14ac:dyDescent="0.3">
      <c r="A887" s="11" t="s">
        <v>177</v>
      </c>
      <c r="B887" s="1" t="s">
        <v>1220</v>
      </c>
      <c r="C887" s="1" t="s">
        <v>6</v>
      </c>
      <c r="D887" s="1">
        <v>1</v>
      </c>
      <c r="E887" s="6">
        <v>436</v>
      </c>
      <c r="F887" s="6">
        <v>436</v>
      </c>
      <c r="G887" s="2" t="s">
        <v>33</v>
      </c>
    </row>
    <row r="888" spans="1:7" x14ac:dyDescent="0.3">
      <c r="A888" s="11" t="s">
        <v>1023</v>
      </c>
      <c r="B888" s="1" t="s">
        <v>1221</v>
      </c>
      <c r="C888" s="1" t="s">
        <v>65</v>
      </c>
      <c r="D888" s="1">
        <v>1</v>
      </c>
      <c r="E888" s="6">
        <v>434</v>
      </c>
      <c r="F888" s="6">
        <v>434</v>
      </c>
      <c r="G888" s="2" t="s">
        <v>27</v>
      </c>
    </row>
    <row r="889" spans="1:7" x14ac:dyDescent="0.3">
      <c r="A889" s="11" t="s">
        <v>12</v>
      </c>
      <c r="B889" s="1" t="s">
        <v>1222</v>
      </c>
      <c r="C889" s="1" t="s">
        <v>14</v>
      </c>
      <c r="D889" s="1">
        <v>3</v>
      </c>
      <c r="E889" s="6">
        <v>132</v>
      </c>
      <c r="F889" s="6">
        <v>396</v>
      </c>
      <c r="G889" s="2" t="s">
        <v>33</v>
      </c>
    </row>
    <row r="890" spans="1:7" x14ac:dyDescent="0.3">
      <c r="A890" s="11" t="s">
        <v>83</v>
      </c>
      <c r="B890" s="1" t="s">
        <v>1223</v>
      </c>
      <c r="C890" s="1" t="s">
        <v>38</v>
      </c>
      <c r="D890" s="1">
        <v>2</v>
      </c>
      <c r="E890" s="6">
        <v>749</v>
      </c>
      <c r="F890" s="6">
        <v>1498</v>
      </c>
      <c r="G890" s="2"/>
    </row>
    <row r="891" spans="1:7" x14ac:dyDescent="0.3">
      <c r="A891" s="11" t="s">
        <v>807</v>
      </c>
      <c r="B891" s="1" t="s">
        <v>432</v>
      </c>
      <c r="C891" s="1" t="s">
        <v>14</v>
      </c>
      <c r="D891" s="1">
        <v>2</v>
      </c>
      <c r="E891" s="6">
        <v>727</v>
      </c>
      <c r="F891" s="6">
        <v>1454</v>
      </c>
      <c r="G891" s="2"/>
    </row>
    <row r="892" spans="1:7" x14ac:dyDescent="0.3">
      <c r="A892" s="11"/>
      <c r="B892" s="1" t="s">
        <v>1224</v>
      </c>
      <c r="C892" s="1" t="s">
        <v>30</v>
      </c>
      <c r="D892" s="1">
        <v>5</v>
      </c>
      <c r="E892" s="6">
        <v>945</v>
      </c>
      <c r="F892" s="6">
        <v>4725</v>
      </c>
      <c r="G892" s="2" t="s">
        <v>7</v>
      </c>
    </row>
    <row r="893" spans="1:7" x14ac:dyDescent="0.3">
      <c r="A893" s="11" t="s">
        <v>1225</v>
      </c>
      <c r="B893" s="1" t="s">
        <v>1226</v>
      </c>
      <c r="C893" s="1" t="s">
        <v>30</v>
      </c>
      <c r="D893" s="1">
        <v>6</v>
      </c>
      <c r="E893" s="6">
        <v>602</v>
      </c>
      <c r="F893" s="6">
        <v>3612</v>
      </c>
      <c r="G893" s="2" t="s">
        <v>33</v>
      </c>
    </row>
    <row r="894" spans="1:7" x14ac:dyDescent="0.3">
      <c r="A894" s="11" t="s">
        <v>631</v>
      </c>
      <c r="B894" s="1" t="s">
        <v>1227</v>
      </c>
      <c r="C894" s="1" t="s">
        <v>65</v>
      </c>
      <c r="D894" s="1">
        <v>5</v>
      </c>
      <c r="E894" s="6">
        <v>186</v>
      </c>
      <c r="F894" s="6">
        <v>930</v>
      </c>
      <c r="G894" s="2" t="s">
        <v>7</v>
      </c>
    </row>
    <row r="895" spans="1:7" x14ac:dyDescent="0.3">
      <c r="A895" s="11" t="s">
        <v>304</v>
      </c>
      <c r="B895" s="1" t="s">
        <v>1228</v>
      </c>
      <c r="C895" s="1" t="s">
        <v>65</v>
      </c>
      <c r="D895" s="1">
        <v>5</v>
      </c>
      <c r="E895" s="6">
        <v>719</v>
      </c>
      <c r="F895" s="6">
        <v>3595</v>
      </c>
      <c r="G895" s="2" t="s">
        <v>7</v>
      </c>
    </row>
    <row r="896" spans="1:7" x14ac:dyDescent="0.3">
      <c r="A896" s="11"/>
      <c r="B896" s="1" t="s">
        <v>1229</v>
      </c>
      <c r="C896" s="1" t="s">
        <v>6</v>
      </c>
      <c r="D896" s="1">
        <v>4</v>
      </c>
      <c r="E896" s="6">
        <v>930</v>
      </c>
      <c r="F896" s="6">
        <v>3720</v>
      </c>
      <c r="G896" s="2"/>
    </row>
    <row r="897" spans="1:7" x14ac:dyDescent="0.3">
      <c r="A897" s="11" t="s">
        <v>314</v>
      </c>
      <c r="B897" s="1" t="s">
        <v>1230</v>
      </c>
      <c r="C897" s="1"/>
      <c r="D897" s="1">
        <v>1</v>
      </c>
      <c r="E897" s="6">
        <v>406</v>
      </c>
      <c r="F897" s="6">
        <v>406</v>
      </c>
      <c r="G897" s="2" t="s">
        <v>11</v>
      </c>
    </row>
    <row r="898" spans="1:7" x14ac:dyDescent="0.3">
      <c r="A898" s="11" t="s">
        <v>274</v>
      </c>
      <c r="B898" s="1" t="s">
        <v>1231</v>
      </c>
      <c r="C898" s="1" t="s">
        <v>10</v>
      </c>
      <c r="D898" s="1">
        <v>3</v>
      </c>
      <c r="E898" s="6">
        <v>171</v>
      </c>
      <c r="F898" s="6">
        <v>513</v>
      </c>
      <c r="G898" s="2" t="s">
        <v>11</v>
      </c>
    </row>
    <row r="899" spans="1:7" x14ac:dyDescent="0.3">
      <c r="A899" s="11" t="s">
        <v>100</v>
      </c>
      <c r="B899" s="1" t="s">
        <v>1232</v>
      </c>
      <c r="C899" s="1" t="s">
        <v>38</v>
      </c>
      <c r="D899" s="1">
        <v>2</v>
      </c>
      <c r="E899" s="6">
        <v>232</v>
      </c>
      <c r="F899" s="6">
        <v>464</v>
      </c>
      <c r="G899" s="2" t="s">
        <v>15</v>
      </c>
    </row>
    <row r="900" spans="1:7" x14ac:dyDescent="0.3">
      <c r="A900" s="11" t="s">
        <v>198</v>
      </c>
      <c r="B900" s="1" t="s">
        <v>1233</v>
      </c>
      <c r="C900" s="1" t="s">
        <v>79</v>
      </c>
      <c r="D900" s="1">
        <v>3</v>
      </c>
      <c r="E900" s="6">
        <v>600</v>
      </c>
      <c r="F900" s="6">
        <v>1800</v>
      </c>
      <c r="G900" s="2"/>
    </row>
    <row r="901" spans="1:7" x14ac:dyDescent="0.3">
      <c r="A901" s="11" t="s">
        <v>34</v>
      </c>
      <c r="B901" s="1" t="s">
        <v>1234</v>
      </c>
      <c r="C901" s="1" t="s">
        <v>68</v>
      </c>
      <c r="D901" s="1">
        <v>1</v>
      </c>
      <c r="E901" s="6">
        <v>452</v>
      </c>
      <c r="F901" s="6">
        <v>452</v>
      </c>
      <c r="G901" s="2" t="s">
        <v>27</v>
      </c>
    </row>
    <row r="902" spans="1:7" x14ac:dyDescent="0.3">
      <c r="A902" s="11" t="s">
        <v>232</v>
      </c>
      <c r="B902" s="1" t="s">
        <v>1235</v>
      </c>
      <c r="C902" s="1" t="s">
        <v>14</v>
      </c>
      <c r="D902" s="1">
        <v>1</v>
      </c>
      <c r="E902" s="6">
        <v>591</v>
      </c>
      <c r="F902" s="6">
        <v>591</v>
      </c>
      <c r="G902" s="2"/>
    </row>
    <row r="903" spans="1:7" x14ac:dyDescent="0.3">
      <c r="A903" s="11" t="s">
        <v>495</v>
      </c>
      <c r="B903" s="1" t="s">
        <v>1236</v>
      </c>
      <c r="C903" s="1" t="s">
        <v>10</v>
      </c>
      <c r="D903" s="1">
        <v>2</v>
      </c>
      <c r="E903" s="6">
        <v>180</v>
      </c>
      <c r="F903" s="6">
        <v>360</v>
      </c>
      <c r="G903" s="2"/>
    </row>
    <row r="904" spans="1:7" x14ac:dyDescent="0.3">
      <c r="A904" s="11" t="s">
        <v>559</v>
      </c>
      <c r="B904" s="1" t="s">
        <v>1237</v>
      </c>
      <c r="C904" s="1" t="s">
        <v>6</v>
      </c>
      <c r="D904" s="1">
        <v>4</v>
      </c>
      <c r="E904" s="6">
        <v>795</v>
      </c>
      <c r="F904" s="6">
        <v>3180</v>
      </c>
      <c r="G904" s="2" t="s">
        <v>11</v>
      </c>
    </row>
    <row r="905" spans="1:7" x14ac:dyDescent="0.3">
      <c r="A905" s="11" t="s">
        <v>633</v>
      </c>
      <c r="B905" s="1" t="s">
        <v>1238</v>
      </c>
      <c r="C905" s="1"/>
      <c r="D905" s="1">
        <v>6</v>
      </c>
      <c r="E905" s="6">
        <v>278</v>
      </c>
      <c r="F905" s="6">
        <v>1668</v>
      </c>
      <c r="G905" s="2" t="s">
        <v>7</v>
      </c>
    </row>
    <row r="906" spans="1:7" x14ac:dyDescent="0.3">
      <c r="A906" s="11" t="s">
        <v>665</v>
      </c>
      <c r="B906" s="1" t="s">
        <v>1239</v>
      </c>
      <c r="C906" s="1" t="s">
        <v>68</v>
      </c>
      <c r="D906" s="1">
        <v>5</v>
      </c>
      <c r="E906" s="6">
        <v>904</v>
      </c>
      <c r="F906" s="6">
        <v>4520</v>
      </c>
      <c r="G906" s="2" t="s">
        <v>11</v>
      </c>
    </row>
    <row r="907" spans="1:7" x14ac:dyDescent="0.3">
      <c r="A907" s="11" t="s">
        <v>8</v>
      </c>
      <c r="B907" s="1" t="s">
        <v>1240</v>
      </c>
      <c r="C907" s="1" t="s">
        <v>68</v>
      </c>
      <c r="D907" s="1">
        <v>4</v>
      </c>
      <c r="E907" s="6">
        <v>53</v>
      </c>
      <c r="F907" s="6">
        <v>212</v>
      </c>
      <c r="G907" s="2" t="s">
        <v>15</v>
      </c>
    </row>
    <row r="908" spans="1:7" x14ac:dyDescent="0.3">
      <c r="A908" s="11" t="s">
        <v>460</v>
      </c>
      <c r="B908" s="1" t="s">
        <v>1241</v>
      </c>
      <c r="C908" s="1" t="s">
        <v>10</v>
      </c>
      <c r="D908" s="1">
        <v>1</v>
      </c>
      <c r="E908" s="6">
        <v>824</v>
      </c>
      <c r="F908" s="6">
        <v>824</v>
      </c>
      <c r="G908" s="2" t="s">
        <v>11</v>
      </c>
    </row>
    <row r="909" spans="1:7" x14ac:dyDescent="0.3">
      <c r="A909" s="11" t="s">
        <v>781</v>
      </c>
      <c r="B909" s="1" t="s">
        <v>1242</v>
      </c>
      <c r="C909" s="1" t="s">
        <v>14</v>
      </c>
      <c r="D909" s="1">
        <v>1</v>
      </c>
      <c r="E909" s="6">
        <v>73</v>
      </c>
      <c r="F909" s="6">
        <v>73</v>
      </c>
      <c r="G909" s="2" t="s">
        <v>7</v>
      </c>
    </row>
    <row r="910" spans="1:7" x14ac:dyDescent="0.3">
      <c r="A910" s="11" t="s">
        <v>675</v>
      </c>
      <c r="B910" s="1" t="s">
        <v>1243</v>
      </c>
      <c r="C910" s="1" t="s">
        <v>68</v>
      </c>
      <c r="D910" s="1">
        <v>4</v>
      </c>
      <c r="E910" s="6">
        <v>355</v>
      </c>
      <c r="F910" s="6">
        <v>1420</v>
      </c>
      <c r="G910" s="2" t="s">
        <v>33</v>
      </c>
    </row>
    <row r="911" spans="1:7" x14ac:dyDescent="0.3">
      <c r="A911" s="11" t="s">
        <v>1244</v>
      </c>
      <c r="B911" s="1" t="s">
        <v>1245</v>
      </c>
      <c r="C911" s="1" t="s">
        <v>10</v>
      </c>
      <c r="D911" s="1">
        <v>5</v>
      </c>
      <c r="E911" s="6">
        <v>524</v>
      </c>
      <c r="F911" s="6">
        <v>2620</v>
      </c>
      <c r="G911" s="2" t="s">
        <v>33</v>
      </c>
    </row>
    <row r="912" spans="1:7" x14ac:dyDescent="0.3">
      <c r="A912" s="11" t="s">
        <v>717</v>
      </c>
      <c r="B912" s="1" t="s">
        <v>1246</v>
      </c>
      <c r="C912" s="1"/>
      <c r="D912" s="1">
        <v>5</v>
      </c>
      <c r="E912" s="6">
        <v>739</v>
      </c>
      <c r="F912" s="6">
        <v>3695</v>
      </c>
      <c r="G912" s="2"/>
    </row>
    <row r="913" spans="1:7" x14ac:dyDescent="0.3">
      <c r="A913" s="11" t="s">
        <v>796</v>
      </c>
      <c r="B913" s="1" t="s">
        <v>1247</v>
      </c>
      <c r="C913" s="1" t="s">
        <v>65</v>
      </c>
      <c r="D913" s="1">
        <v>1</v>
      </c>
      <c r="E913" s="6">
        <v>786</v>
      </c>
      <c r="F913" s="6">
        <v>786</v>
      </c>
      <c r="G913" s="2" t="s">
        <v>15</v>
      </c>
    </row>
    <row r="914" spans="1:7" x14ac:dyDescent="0.3">
      <c r="A914" s="11" t="s">
        <v>368</v>
      </c>
      <c r="B914" s="1" t="s">
        <v>1248</v>
      </c>
      <c r="C914" s="1" t="s">
        <v>30</v>
      </c>
      <c r="D914" s="1">
        <v>6</v>
      </c>
      <c r="E914" s="6">
        <v>607</v>
      </c>
      <c r="F914" s="6">
        <v>3642</v>
      </c>
      <c r="G914" s="2" t="s">
        <v>19</v>
      </c>
    </row>
    <row r="915" spans="1:7" x14ac:dyDescent="0.3">
      <c r="A915" s="11" t="s">
        <v>428</v>
      </c>
      <c r="B915" s="1" t="s">
        <v>1249</v>
      </c>
      <c r="C915" s="1" t="s">
        <v>65</v>
      </c>
      <c r="D915" s="1">
        <v>5</v>
      </c>
      <c r="E915" s="6">
        <v>484</v>
      </c>
      <c r="F915" s="6">
        <v>2420</v>
      </c>
      <c r="G915" s="2" t="s">
        <v>11</v>
      </c>
    </row>
    <row r="916" spans="1:7" x14ac:dyDescent="0.3">
      <c r="A916" s="11" t="s">
        <v>193</v>
      </c>
      <c r="B916" s="1" t="s">
        <v>1250</v>
      </c>
      <c r="C916" s="1" t="s">
        <v>14</v>
      </c>
      <c r="D916" s="1">
        <v>5</v>
      </c>
      <c r="E916" s="6">
        <v>594</v>
      </c>
      <c r="F916" s="6">
        <v>2970</v>
      </c>
      <c r="G916" s="2" t="s">
        <v>11</v>
      </c>
    </row>
    <row r="917" spans="1:7" x14ac:dyDescent="0.3">
      <c r="A917" s="11" t="s">
        <v>689</v>
      </c>
      <c r="B917" s="1" t="s">
        <v>1251</v>
      </c>
      <c r="C917" s="1" t="s">
        <v>24</v>
      </c>
      <c r="D917" s="1">
        <v>2</v>
      </c>
      <c r="E917" s="6">
        <v>438</v>
      </c>
      <c r="F917" s="6">
        <v>876</v>
      </c>
      <c r="G917" s="2" t="s">
        <v>19</v>
      </c>
    </row>
    <row r="918" spans="1:7" x14ac:dyDescent="0.3">
      <c r="A918" s="11" t="s">
        <v>426</v>
      </c>
      <c r="B918" s="1" t="s">
        <v>1252</v>
      </c>
      <c r="C918" s="1" t="s">
        <v>68</v>
      </c>
      <c r="D918" s="1">
        <v>6</v>
      </c>
      <c r="E918" s="6">
        <v>893</v>
      </c>
      <c r="F918" s="6">
        <v>5358</v>
      </c>
      <c r="G918" s="2" t="s">
        <v>19</v>
      </c>
    </row>
    <row r="919" spans="1:7" x14ac:dyDescent="0.3">
      <c r="A919" s="11" t="s">
        <v>57</v>
      </c>
      <c r="B919" s="1" t="s">
        <v>1253</v>
      </c>
      <c r="C919" s="1" t="s">
        <v>38</v>
      </c>
      <c r="D919" s="1">
        <v>2</v>
      </c>
      <c r="E919" s="6">
        <v>285</v>
      </c>
      <c r="F919" s="6">
        <v>570</v>
      </c>
      <c r="G919" s="2" t="s">
        <v>33</v>
      </c>
    </row>
    <row r="920" spans="1:7" x14ac:dyDescent="0.3">
      <c r="A920" s="11" t="s">
        <v>1254</v>
      </c>
      <c r="B920" s="1" t="s">
        <v>1255</v>
      </c>
      <c r="C920" s="1" t="s">
        <v>65</v>
      </c>
      <c r="D920" s="1">
        <v>3</v>
      </c>
      <c r="E920" s="6">
        <v>303</v>
      </c>
      <c r="F920" s="6">
        <v>909</v>
      </c>
      <c r="G920" s="2"/>
    </row>
    <row r="921" spans="1:7" x14ac:dyDescent="0.3">
      <c r="A921" s="11" t="s">
        <v>266</v>
      </c>
      <c r="B921" s="1" t="s">
        <v>1256</v>
      </c>
      <c r="C921" s="1" t="s">
        <v>6</v>
      </c>
      <c r="D921" s="1">
        <v>4</v>
      </c>
      <c r="E921" s="6">
        <v>521</v>
      </c>
      <c r="F921" s="6">
        <v>2084</v>
      </c>
      <c r="G921" s="2" t="s">
        <v>11</v>
      </c>
    </row>
    <row r="922" spans="1:7" x14ac:dyDescent="0.3">
      <c r="A922" s="11" t="s">
        <v>360</v>
      </c>
      <c r="B922" s="1" t="s">
        <v>1257</v>
      </c>
      <c r="C922" s="1" t="s">
        <v>65</v>
      </c>
      <c r="D922" s="1">
        <v>1</v>
      </c>
      <c r="E922" s="6">
        <v>404</v>
      </c>
      <c r="F922" s="6">
        <v>404</v>
      </c>
      <c r="G922" s="2" t="s">
        <v>15</v>
      </c>
    </row>
    <row r="923" spans="1:7" x14ac:dyDescent="0.3">
      <c r="A923" s="11" t="s">
        <v>48</v>
      </c>
      <c r="B923" s="1" t="s">
        <v>1258</v>
      </c>
      <c r="C923" s="1" t="s">
        <v>79</v>
      </c>
      <c r="D923" s="1">
        <v>5</v>
      </c>
      <c r="E923" s="6">
        <v>208</v>
      </c>
      <c r="F923" s="6">
        <v>1040</v>
      </c>
      <c r="G923" s="2" t="s">
        <v>11</v>
      </c>
    </row>
    <row r="924" spans="1:7" x14ac:dyDescent="0.3">
      <c r="A924" s="11" t="s">
        <v>1259</v>
      </c>
      <c r="B924" s="1" t="s">
        <v>1260</v>
      </c>
      <c r="C924" s="1" t="s">
        <v>38</v>
      </c>
      <c r="D924" s="1" t="e">
        <v>#DIV/0!</v>
      </c>
      <c r="E924" s="6" t="e">
        <v>#DIV/0!</v>
      </c>
      <c r="F924" s="6">
        <v>996</v>
      </c>
      <c r="G924" s="2" t="s">
        <v>7</v>
      </c>
    </row>
    <row r="925" spans="1:7" x14ac:dyDescent="0.3">
      <c r="A925" s="11" t="s">
        <v>142</v>
      </c>
      <c r="B925" s="1" t="s">
        <v>1261</v>
      </c>
      <c r="C925" s="1"/>
      <c r="D925" s="1">
        <v>2</v>
      </c>
      <c r="E925" s="6">
        <v>243</v>
      </c>
      <c r="F925" s="6">
        <v>486</v>
      </c>
      <c r="G925" s="2" t="s">
        <v>15</v>
      </c>
    </row>
    <row r="926" spans="1:7" x14ac:dyDescent="0.3">
      <c r="A926" s="11" t="s">
        <v>177</v>
      </c>
      <c r="B926" s="1" t="s">
        <v>1262</v>
      </c>
      <c r="C926" s="1" t="s">
        <v>79</v>
      </c>
      <c r="D926" s="1">
        <v>5</v>
      </c>
      <c r="E926" s="6">
        <v>946</v>
      </c>
      <c r="F926" s="6">
        <v>4730</v>
      </c>
      <c r="G926" s="2" t="s">
        <v>15</v>
      </c>
    </row>
    <row r="927" spans="1:7" x14ac:dyDescent="0.3">
      <c r="A927" s="11" t="s">
        <v>281</v>
      </c>
      <c r="B927" s="1" t="s">
        <v>1263</v>
      </c>
      <c r="C927" s="1" t="s">
        <v>6</v>
      </c>
      <c r="D927" s="1">
        <v>4</v>
      </c>
      <c r="E927" s="6">
        <v>792</v>
      </c>
      <c r="F927" s="6">
        <v>3168</v>
      </c>
      <c r="G927" s="2" t="s">
        <v>15</v>
      </c>
    </row>
    <row r="928" spans="1:7" x14ac:dyDescent="0.3">
      <c r="A928" s="11" t="s">
        <v>158</v>
      </c>
      <c r="B928" s="1" t="s">
        <v>1264</v>
      </c>
      <c r="C928" s="1" t="s">
        <v>24</v>
      </c>
      <c r="D928" s="1">
        <v>2</v>
      </c>
      <c r="E928" s="6">
        <v>833</v>
      </c>
      <c r="F928" s="6">
        <v>1666</v>
      </c>
      <c r="G928" s="2" t="s">
        <v>33</v>
      </c>
    </row>
    <row r="929" spans="1:7" x14ac:dyDescent="0.3">
      <c r="A929" s="11" t="s">
        <v>144</v>
      </c>
      <c r="B929" s="1" t="s">
        <v>1265</v>
      </c>
      <c r="C929" s="1" t="s">
        <v>79</v>
      </c>
      <c r="D929" s="1">
        <v>6</v>
      </c>
      <c r="E929" s="6">
        <v>165</v>
      </c>
      <c r="F929" s="6">
        <v>990</v>
      </c>
      <c r="G929" s="2" t="s">
        <v>7</v>
      </c>
    </row>
    <row r="930" spans="1:7" x14ac:dyDescent="0.3">
      <c r="A930" s="11"/>
      <c r="B930" s="1" t="s">
        <v>1266</v>
      </c>
      <c r="C930" s="1" t="s">
        <v>38</v>
      </c>
      <c r="D930" s="1">
        <v>6</v>
      </c>
      <c r="E930" s="6">
        <v>82</v>
      </c>
      <c r="F930" s="6">
        <v>492</v>
      </c>
      <c r="G930" s="2" t="s">
        <v>11</v>
      </c>
    </row>
    <row r="931" spans="1:7" x14ac:dyDescent="0.3">
      <c r="A931" s="11" t="s">
        <v>509</v>
      </c>
      <c r="B931" s="1" t="s">
        <v>1267</v>
      </c>
      <c r="C931" s="1" t="s">
        <v>65</v>
      </c>
      <c r="D931" s="1">
        <v>1</v>
      </c>
      <c r="E931" s="6">
        <v>878</v>
      </c>
      <c r="F931" s="6">
        <v>878</v>
      </c>
      <c r="G931" s="2" t="s">
        <v>33</v>
      </c>
    </row>
    <row r="932" spans="1:7" x14ac:dyDescent="0.3">
      <c r="A932" s="11" t="s">
        <v>994</v>
      </c>
      <c r="B932" s="1" t="s">
        <v>1268</v>
      </c>
      <c r="C932" s="1" t="s">
        <v>14</v>
      </c>
      <c r="D932" s="1">
        <v>5</v>
      </c>
      <c r="E932" s="6">
        <v>726</v>
      </c>
      <c r="F932" s="6">
        <v>3630</v>
      </c>
      <c r="G932" s="2" t="s">
        <v>27</v>
      </c>
    </row>
    <row r="933" spans="1:7" x14ac:dyDescent="0.3">
      <c r="A933" s="11" t="s">
        <v>665</v>
      </c>
      <c r="B933" s="1" t="s">
        <v>1269</v>
      </c>
      <c r="C933" s="1" t="s">
        <v>38</v>
      </c>
      <c r="D933" s="1">
        <v>3</v>
      </c>
      <c r="E933" s="6">
        <v>479</v>
      </c>
      <c r="F933" s="6">
        <v>1437</v>
      </c>
      <c r="G933" s="2" t="s">
        <v>15</v>
      </c>
    </row>
    <row r="934" spans="1:7" x14ac:dyDescent="0.3">
      <c r="A934" s="11"/>
      <c r="B934" s="1" t="s">
        <v>1270</v>
      </c>
      <c r="C934" s="1" t="s">
        <v>30</v>
      </c>
      <c r="D934" s="1">
        <v>1</v>
      </c>
      <c r="E934" s="6">
        <v>679</v>
      </c>
      <c r="F934" s="6">
        <v>679</v>
      </c>
      <c r="G934" s="2" t="s">
        <v>19</v>
      </c>
    </row>
    <row r="935" spans="1:7" x14ac:dyDescent="0.3">
      <c r="A935" s="11" t="s">
        <v>623</v>
      </c>
      <c r="B935" s="1" t="s">
        <v>1271</v>
      </c>
      <c r="C935" s="1" t="s">
        <v>10</v>
      </c>
      <c r="D935" s="1">
        <v>5</v>
      </c>
      <c r="E935" s="6">
        <v>834</v>
      </c>
      <c r="F935" s="6">
        <v>4170</v>
      </c>
      <c r="G935" s="2" t="s">
        <v>7</v>
      </c>
    </row>
    <row r="936" spans="1:7" x14ac:dyDescent="0.3">
      <c r="A936" s="11" t="s">
        <v>717</v>
      </c>
      <c r="B936" s="1" t="s">
        <v>1272</v>
      </c>
      <c r="C936" s="1" t="s">
        <v>65</v>
      </c>
      <c r="D936" s="1">
        <v>5</v>
      </c>
      <c r="E936" s="6">
        <v>954</v>
      </c>
      <c r="F936" s="6">
        <v>4770</v>
      </c>
      <c r="G936" s="2" t="s">
        <v>15</v>
      </c>
    </row>
    <row r="937" spans="1:7" x14ac:dyDescent="0.3">
      <c r="A937" s="11" t="s">
        <v>232</v>
      </c>
      <c r="B937" s="1" t="s">
        <v>1273</v>
      </c>
      <c r="C937" s="1" t="s">
        <v>6</v>
      </c>
      <c r="D937" s="1">
        <v>5</v>
      </c>
      <c r="E937" s="6">
        <v>960</v>
      </c>
      <c r="F937" s="6">
        <v>4800</v>
      </c>
      <c r="G937" s="2" t="s">
        <v>7</v>
      </c>
    </row>
    <row r="938" spans="1:7" x14ac:dyDescent="0.3">
      <c r="A938" s="11"/>
      <c r="B938" s="1" t="s">
        <v>1274</v>
      </c>
      <c r="C938" s="1"/>
      <c r="D938" s="1">
        <v>5</v>
      </c>
      <c r="E938" s="6">
        <v>66</v>
      </c>
      <c r="F938" s="6">
        <v>330</v>
      </c>
      <c r="G938" s="2"/>
    </row>
    <row r="939" spans="1:7" x14ac:dyDescent="0.3">
      <c r="A939" s="11" t="s">
        <v>1275</v>
      </c>
      <c r="B939" s="1" t="s">
        <v>1276</v>
      </c>
      <c r="C939" s="1" t="s">
        <v>14</v>
      </c>
      <c r="D939" s="1">
        <v>5</v>
      </c>
      <c r="E939" s="6">
        <v>296</v>
      </c>
      <c r="F939" s="6">
        <v>1480</v>
      </c>
      <c r="G939" s="2" t="s">
        <v>15</v>
      </c>
    </row>
    <row r="940" spans="1:7" x14ac:dyDescent="0.3">
      <c r="A940" s="11" t="s">
        <v>25</v>
      </c>
      <c r="B940" s="1" t="s">
        <v>1277</v>
      </c>
      <c r="C940" s="1" t="s">
        <v>79</v>
      </c>
      <c r="D940" s="1">
        <v>1</v>
      </c>
      <c r="E940" s="6">
        <v>261</v>
      </c>
      <c r="F940" s="6">
        <v>261</v>
      </c>
      <c r="G940" s="2" t="s">
        <v>11</v>
      </c>
    </row>
    <row r="941" spans="1:7" x14ac:dyDescent="0.3">
      <c r="A941" s="11" t="s">
        <v>511</v>
      </c>
      <c r="B941" s="1" t="s">
        <v>1278</v>
      </c>
      <c r="C941" s="1" t="s">
        <v>6</v>
      </c>
      <c r="D941" s="1">
        <v>4</v>
      </c>
      <c r="E941" s="6">
        <v>118</v>
      </c>
      <c r="F941" s="6">
        <v>472</v>
      </c>
      <c r="G941" s="2"/>
    </row>
    <row r="942" spans="1:7" x14ac:dyDescent="0.3">
      <c r="A942" s="11" t="s">
        <v>150</v>
      </c>
      <c r="B942" s="1" t="s">
        <v>1279</v>
      </c>
      <c r="C942" s="1" t="s">
        <v>38</v>
      </c>
      <c r="D942" s="1">
        <v>4</v>
      </c>
      <c r="E942" s="6">
        <v>153</v>
      </c>
      <c r="F942" s="6">
        <v>612</v>
      </c>
      <c r="G942" s="2" t="s">
        <v>15</v>
      </c>
    </row>
    <row r="943" spans="1:7" x14ac:dyDescent="0.3">
      <c r="A943" s="11" t="s">
        <v>390</v>
      </c>
      <c r="B943" s="1" t="s">
        <v>1280</v>
      </c>
      <c r="C943" s="1" t="s">
        <v>30</v>
      </c>
      <c r="D943" s="1">
        <v>1</v>
      </c>
      <c r="E943" s="6">
        <v>658</v>
      </c>
      <c r="F943" s="6">
        <v>658</v>
      </c>
      <c r="G943" s="2" t="s">
        <v>15</v>
      </c>
    </row>
    <row r="944" spans="1:7" x14ac:dyDescent="0.3">
      <c r="A944" s="11" t="s">
        <v>420</v>
      </c>
      <c r="B944" s="1" t="s">
        <v>1281</v>
      </c>
      <c r="C944" s="1" t="s">
        <v>10</v>
      </c>
      <c r="D944" s="1">
        <v>6</v>
      </c>
      <c r="E944" s="6">
        <v>0</v>
      </c>
      <c r="F944" s="6">
        <v>0</v>
      </c>
      <c r="G944" s="2" t="s">
        <v>7</v>
      </c>
    </row>
    <row r="945" spans="1:7" x14ac:dyDescent="0.3">
      <c r="A945" s="11" t="s">
        <v>66</v>
      </c>
      <c r="B945" s="1" t="s">
        <v>1282</v>
      </c>
      <c r="C945" s="1" t="s">
        <v>30</v>
      </c>
      <c r="D945" s="1">
        <v>4</v>
      </c>
      <c r="E945" s="6">
        <v>507</v>
      </c>
      <c r="F945" s="6">
        <v>2028</v>
      </c>
      <c r="G945" s="2" t="s">
        <v>19</v>
      </c>
    </row>
    <row r="946" spans="1:7" x14ac:dyDescent="0.3">
      <c r="A946" s="11"/>
      <c r="B946" s="1" t="s">
        <v>1283</v>
      </c>
      <c r="C946" s="1" t="s">
        <v>65</v>
      </c>
      <c r="D946" s="1">
        <v>3</v>
      </c>
      <c r="E946" s="6">
        <v>662</v>
      </c>
      <c r="F946" s="6">
        <v>1986</v>
      </c>
      <c r="G946" s="2" t="s">
        <v>7</v>
      </c>
    </row>
    <row r="947" spans="1:7" x14ac:dyDescent="0.3">
      <c r="A947" s="11" t="s">
        <v>1135</v>
      </c>
      <c r="B947" s="1" t="s">
        <v>1284</v>
      </c>
      <c r="C947" s="1" t="s">
        <v>38</v>
      </c>
      <c r="D947" s="1">
        <v>3</v>
      </c>
      <c r="E947" s="6">
        <v>738</v>
      </c>
      <c r="F947" s="6">
        <v>2214</v>
      </c>
      <c r="G947" s="2" t="s">
        <v>27</v>
      </c>
    </row>
    <row r="948" spans="1:7" x14ac:dyDescent="0.3">
      <c r="A948" s="11" t="s">
        <v>317</v>
      </c>
      <c r="B948" s="1" t="s">
        <v>1285</v>
      </c>
      <c r="C948" s="1" t="s">
        <v>10</v>
      </c>
      <c r="D948" s="1">
        <v>6</v>
      </c>
      <c r="E948" s="6">
        <v>770</v>
      </c>
      <c r="F948" s="6">
        <v>4620</v>
      </c>
      <c r="G948" s="2" t="s">
        <v>11</v>
      </c>
    </row>
    <row r="949" spans="1:7" x14ac:dyDescent="0.3">
      <c r="A949" s="11" t="s">
        <v>257</v>
      </c>
      <c r="B949" s="1" t="s">
        <v>1286</v>
      </c>
      <c r="C949" s="1" t="s">
        <v>18</v>
      </c>
      <c r="D949" s="1">
        <v>1</v>
      </c>
      <c r="E949" s="6">
        <v>943</v>
      </c>
      <c r="F949" s="6">
        <v>943</v>
      </c>
      <c r="G949" s="2"/>
    </row>
    <row r="950" spans="1:7" x14ac:dyDescent="0.3">
      <c r="A950" s="11" t="s">
        <v>83</v>
      </c>
      <c r="B950" s="1" t="s">
        <v>1287</v>
      </c>
      <c r="C950" s="1" t="s">
        <v>30</v>
      </c>
      <c r="D950" s="1">
        <v>3</v>
      </c>
      <c r="E950" s="6">
        <v>99</v>
      </c>
      <c r="F950" s="6">
        <v>297</v>
      </c>
      <c r="G950" s="2"/>
    </row>
    <row r="951" spans="1:7" x14ac:dyDescent="0.3">
      <c r="A951" s="11" t="s">
        <v>134</v>
      </c>
      <c r="B951" s="1" t="s">
        <v>1288</v>
      </c>
      <c r="C951" s="1" t="s">
        <v>79</v>
      </c>
      <c r="D951" s="1">
        <v>1</v>
      </c>
      <c r="E951" s="6">
        <v>300</v>
      </c>
      <c r="F951" s="6">
        <v>300</v>
      </c>
      <c r="G951" s="2" t="s">
        <v>33</v>
      </c>
    </row>
    <row r="952" spans="1:7" x14ac:dyDescent="0.3">
      <c r="A952" s="11" t="s">
        <v>274</v>
      </c>
      <c r="B952" s="1" t="s">
        <v>1289</v>
      </c>
      <c r="C952" s="1"/>
      <c r="D952" s="1">
        <v>3</v>
      </c>
      <c r="E952" s="6">
        <v>808</v>
      </c>
      <c r="F952" s="6">
        <v>2424</v>
      </c>
      <c r="G952" s="2" t="s">
        <v>11</v>
      </c>
    </row>
    <row r="953" spans="1:7" x14ac:dyDescent="0.3">
      <c r="A953" s="11" t="s">
        <v>823</v>
      </c>
      <c r="B953" s="1" t="s">
        <v>1290</v>
      </c>
      <c r="C953" s="1" t="s">
        <v>65</v>
      </c>
      <c r="D953" s="1">
        <v>2</v>
      </c>
      <c r="E953" s="6">
        <v>95</v>
      </c>
      <c r="F953" s="6">
        <v>190</v>
      </c>
      <c r="G953" s="2" t="s">
        <v>11</v>
      </c>
    </row>
    <row r="954" spans="1:7" x14ac:dyDescent="0.3">
      <c r="A954" s="11"/>
      <c r="B954" s="1" t="s">
        <v>1291</v>
      </c>
      <c r="C954" s="1"/>
      <c r="D954" s="1">
        <v>6</v>
      </c>
      <c r="E954" s="6">
        <v>461</v>
      </c>
      <c r="F954" s="6">
        <v>2766</v>
      </c>
      <c r="G954" s="2" t="s">
        <v>33</v>
      </c>
    </row>
    <row r="955" spans="1:7" x14ac:dyDescent="0.3">
      <c r="A955" s="11" t="s">
        <v>262</v>
      </c>
      <c r="B955" s="1" t="s">
        <v>1292</v>
      </c>
      <c r="C955" s="1" t="s">
        <v>10</v>
      </c>
      <c r="D955" s="1">
        <v>6</v>
      </c>
      <c r="E955" s="6">
        <v>499</v>
      </c>
      <c r="F955" s="6">
        <v>2994</v>
      </c>
      <c r="G955" s="2" t="s">
        <v>7</v>
      </c>
    </row>
    <row r="956" spans="1:7" x14ac:dyDescent="0.3">
      <c r="A956" s="11" t="s">
        <v>670</v>
      </c>
      <c r="B956" s="1" t="s">
        <v>1293</v>
      </c>
      <c r="C956" s="1" t="s">
        <v>18</v>
      </c>
      <c r="D956" s="1">
        <v>6</v>
      </c>
      <c r="E956" s="6">
        <v>289</v>
      </c>
      <c r="F956" s="6">
        <v>1734</v>
      </c>
      <c r="G956" s="2" t="s">
        <v>27</v>
      </c>
    </row>
    <row r="957" spans="1:7" x14ac:dyDescent="0.3">
      <c r="A957" s="11" t="s">
        <v>302</v>
      </c>
      <c r="B957" s="1" t="s">
        <v>1294</v>
      </c>
      <c r="C957" s="1" t="s">
        <v>14</v>
      </c>
      <c r="D957" s="1">
        <v>1</v>
      </c>
      <c r="E957" s="6">
        <v>602</v>
      </c>
      <c r="F957" s="6">
        <v>602</v>
      </c>
      <c r="G957" s="2" t="s">
        <v>15</v>
      </c>
    </row>
    <row r="958" spans="1:7" x14ac:dyDescent="0.3">
      <c r="A958" s="11" t="s">
        <v>924</v>
      </c>
      <c r="B958" s="1" t="s">
        <v>1295</v>
      </c>
      <c r="C958" s="1" t="s">
        <v>30</v>
      </c>
      <c r="D958" s="1">
        <v>5</v>
      </c>
      <c r="E958" s="6">
        <v>272</v>
      </c>
      <c r="F958" s="6">
        <v>1360</v>
      </c>
      <c r="G958" s="2" t="s">
        <v>27</v>
      </c>
    </row>
    <row r="959" spans="1:7" x14ac:dyDescent="0.3">
      <c r="A959" s="11" t="s">
        <v>441</v>
      </c>
      <c r="B959" s="1" t="s">
        <v>1296</v>
      </c>
      <c r="C959" s="1"/>
      <c r="D959" s="1">
        <v>6</v>
      </c>
      <c r="E959" s="6">
        <v>822</v>
      </c>
      <c r="F959" s="6">
        <v>4932</v>
      </c>
      <c r="G959" s="2" t="s">
        <v>19</v>
      </c>
    </row>
    <row r="960" spans="1:7" x14ac:dyDescent="0.3">
      <c r="A960" s="11" t="s">
        <v>193</v>
      </c>
      <c r="B960" s="1" t="s">
        <v>1297</v>
      </c>
      <c r="C960" s="1" t="s">
        <v>14</v>
      </c>
      <c r="D960" s="1">
        <v>3</v>
      </c>
      <c r="E960" s="6">
        <v>0</v>
      </c>
      <c r="F960" s="6">
        <v>0</v>
      </c>
      <c r="G960" s="2" t="s">
        <v>27</v>
      </c>
    </row>
    <row r="961" spans="1:7" x14ac:dyDescent="0.3">
      <c r="A961" s="11" t="s">
        <v>85</v>
      </c>
      <c r="B961" s="1" t="s">
        <v>1298</v>
      </c>
      <c r="C961" s="1" t="s">
        <v>65</v>
      </c>
      <c r="D961" s="1">
        <v>2</v>
      </c>
      <c r="E961" s="6">
        <v>844</v>
      </c>
      <c r="F961" s="6">
        <v>1688</v>
      </c>
      <c r="G961" s="2" t="s">
        <v>11</v>
      </c>
    </row>
    <row r="962" spans="1:7" x14ac:dyDescent="0.3">
      <c r="A962" s="11" t="s">
        <v>844</v>
      </c>
      <c r="B962" s="1" t="s">
        <v>1299</v>
      </c>
      <c r="C962" s="1" t="s">
        <v>65</v>
      </c>
      <c r="D962" s="1">
        <v>1</v>
      </c>
      <c r="E962" s="6">
        <v>107</v>
      </c>
      <c r="F962" s="6">
        <v>107</v>
      </c>
      <c r="G962" s="2" t="s">
        <v>15</v>
      </c>
    </row>
    <row r="963" spans="1:7" x14ac:dyDescent="0.3">
      <c r="A963" s="11" t="s">
        <v>789</v>
      </c>
      <c r="B963" s="1" t="s">
        <v>1146</v>
      </c>
      <c r="C963" s="1" t="s">
        <v>6</v>
      </c>
      <c r="D963" s="1">
        <v>3</v>
      </c>
      <c r="E963" s="6">
        <v>193</v>
      </c>
      <c r="F963" s="6">
        <v>579</v>
      </c>
      <c r="G963" s="2" t="s">
        <v>27</v>
      </c>
    </row>
    <row r="964" spans="1:7" x14ac:dyDescent="0.3">
      <c r="A964" s="11" t="s">
        <v>900</v>
      </c>
      <c r="B964" s="1" t="s">
        <v>1300</v>
      </c>
      <c r="C964" s="1" t="s">
        <v>10</v>
      </c>
      <c r="D964" s="1">
        <v>5</v>
      </c>
      <c r="E964" s="6">
        <v>565</v>
      </c>
      <c r="F964" s="6">
        <v>2825</v>
      </c>
      <c r="G964" s="2"/>
    </row>
    <row r="965" spans="1:7" x14ac:dyDescent="0.3">
      <c r="A965" s="11" t="s">
        <v>420</v>
      </c>
      <c r="B965" s="1" t="s">
        <v>1301</v>
      </c>
      <c r="C965" s="1" t="s">
        <v>68</v>
      </c>
      <c r="D965" s="1">
        <v>3</v>
      </c>
      <c r="E965" s="6">
        <v>346</v>
      </c>
      <c r="F965" s="6">
        <v>1038</v>
      </c>
      <c r="G965" s="2" t="s">
        <v>27</v>
      </c>
    </row>
    <row r="966" spans="1:7" x14ac:dyDescent="0.3">
      <c r="A966" s="11"/>
      <c r="B966" s="1" t="s">
        <v>1302</v>
      </c>
      <c r="C966" s="1" t="s">
        <v>18</v>
      </c>
      <c r="D966" s="1">
        <v>6</v>
      </c>
      <c r="E966" s="6">
        <v>289</v>
      </c>
      <c r="F966" s="6">
        <v>1734</v>
      </c>
      <c r="G966" s="2" t="s">
        <v>33</v>
      </c>
    </row>
    <row r="967" spans="1:7" x14ac:dyDescent="0.3">
      <c r="A967" s="11" t="s">
        <v>789</v>
      </c>
      <c r="B967" s="1" t="s">
        <v>1303</v>
      </c>
      <c r="C967" s="1" t="s">
        <v>24</v>
      </c>
      <c r="D967" s="1">
        <v>2</v>
      </c>
      <c r="E967" s="6">
        <v>885</v>
      </c>
      <c r="F967" s="6">
        <v>1770</v>
      </c>
      <c r="G967" s="2" t="s">
        <v>15</v>
      </c>
    </row>
    <row r="968" spans="1:7" x14ac:dyDescent="0.3">
      <c r="A968" s="11" t="s">
        <v>77</v>
      </c>
      <c r="B968" s="1" t="s">
        <v>1304</v>
      </c>
      <c r="C968" s="1" t="s">
        <v>14</v>
      </c>
      <c r="D968" s="1">
        <v>6</v>
      </c>
      <c r="E968" s="6">
        <v>988</v>
      </c>
      <c r="F968" s="6">
        <v>5928</v>
      </c>
      <c r="G968" s="2" t="s">
        <v>27</v>
      </c>
    </row>
    <row r="969" spans="1:7" x14ac:dyDescent="0.3">
      <c r="A969" s="11" t="s">
        <v>935</v>
      </c>
      <c r="B969" s="1" t="s">
        <v>1305</v>
      </c>
      <c r="C969" s="1" t="s">
        <v>30</v>
      </c>
      <c r="D969" s="1">
        <v>4</v>
      </c>
      <c r="E969" s="6">
        <v>799</v>
      </c>
      <c r="F969" s="6">
        <v>3196</v>
      </c>
      <c r="G969" s="2" t="s">
        <v>19</v>
      </c>
    </row>
    <row r="970" spans="1:7" x14ac:dyDescent="0.3">
      <c r="A970" s="11" t="s">
        <v>1259</v>
      </c>
      <c r="B970" s="1" t="s">
        <v>777</v>
      </c>
      <c r="C970" s="1" t="s">
        <v>10</v>
      </c>
      <c r="D970" s="1">
        <v>6</v>
      </c>
      <c r="E970" s="6">
        <v>639</v>
      </c>
      <c r="F970" s="6">
        <v>3834</v>
      </c>
      <c r="G970" s="2" t="s">
        <v>15</v>
      </c>
    </row>
    <row r="971" spans="1:7" x14ac:dyDescent="0.3">
      <c r="A971" s="11" t="s">
        <v>644</v>
      </c>
      <c r="B971" s="1" t="s">
        <v>1306</v>
      </c>
      <c r="C971" s="1" t="s">
        <v>30</v>
      </c>
      <c r="D971" s="1">
        <v>4</v>
      </c>
      <c r="E971" s="6">
        <v>376</v>
      </c>
      <c r="F971" s="6">
        <v>1504</v>
      </c>
      <c r="G971" s="2" t="s">
        <v>7</v>
      </c>
    </row>
    <row r="972" spans="1:7" x14ac:dyDescent="0.3">
      <c r="A972" s="11" t="s">
        <v>371</v>
      </c>
      <c r="B972" s="1" t="s">
        <v>1307</v>
      </c>
      <c r="C972" s="1" t="s">
        <v>38</v>
      </c>
      <c r="D972" s="1">
        <v>6</v>
      </c>
      <c r="E972" s="6">
        <v>641</v>
      </c>
      <c r="F972" s="6">
        <v>3846</v>
      </c>
      <c r="G972" s="2" t="s">
        <v>11</v>
      </c>
    </row>
    <row r="973" spans="1:7" x14ac:dyDescent="0.3">
      <c r="A973" s="11" t="s">
        <v>796</v>
      </c>
      <c r="B973" s="1" t="s">
        <v>1308</v>
      </c>
      <c r="C973" s="1"/>
      <c r="D973" s="1">
        <v>2</v>
      </c>
      <c r="E973" s="6">
        <v>662</v>
      </c>
      <c r="F973" s="6">
        <v>1324</v>
      </c>
      <c r="G973" s="2" t="s">
        <v>15</v>
      </c>
    </row>
    <row r="974" spans="1:7" x14ac:dyDescent="0.3">
      <c r="A974" s="11" t="s">
        <v>407</v>
      </c>
      <c r="B974" s="1" t="s">
        <v>1309</v>
      </c>
      <c r="C974" s="1" t="s">
        <v>18</v>
      </c>
      <c r="D974" s="1">
        <v>2</v>
      </c>
      <c r="E974" s="6">
        <v>841</v>
      </c>
      <c r="F974" s="6">
        <v>1682</v>
      </c>
      <c r="G974" s="2" t="s">
        <v>33</v>
      </c>
    </row>
    <row r="975" spans="1:7" x14ac:dyDescent="0.3">
      <c r="A975" s="11" t="s">
        <v>576</v>
      </c>
      <c r="B975" s="1" t="s">
        <v>1310</v>
      </c>
      <c r="C975" s="1" t="s">
        <v>6</v>
      </c>
      <c r="D975" s="1">
        <v>1</v>
      </c>
      <c r="E975" s="6">
        <v>738</v>
      </c>
      <c r="F975" s="6">
        <v>738</v>
      </c>
      <c r="G975" s="2" t="s">
        <v>11</v>
      </c>
    </row>
    <row r="976" spans="1:7" x14ac:dyDescent="0.3">
      <c r="A976" s="11" t="s">
        <v>351</v>
      </c>
      <c r="B976" s="1" t="s">
        <v>1311</v>
      </c>
      <c r="C976" s="1" t="s">
        <v>65</v>
      </c>
      <c r="D976" s="1">
        <v>6</v>
      </c>
      <c r="E976" s="6">
        <v>888</v>
      </c>
      <c r="F976" s="6">
        <v>5328</v>
      </c>
      <c r="G976" s="2" t="s">
        <v>27</v>
      </c>
    </row>
    <row r="977" spans="1:9" x14ac:dyDescent="0.3">
      <c r="A977" s="11" t="s">
        <v>576</v>
      </c>
      <c r="B977" s="1" t="s">
        <v>1312</v>
      </c>
      <c r="C977" s="1" t="s">
        <v>6</v>
      </c>
      <c r="D977" s="1">
        <v>4</v>
      </c>
      <c r="E977" s="6">
        <v>378</v>
      </c>
      <c r="F977" s="6">
        <v>1512</v>
      </c>
      <c r="G977" s="2" t="s">
        <v>27</v>
      </c>
    </row>
    <row r="978" spans="1:9" x14ac:dyDescent="0.3">
      <c r="A978" s="11" t="s">
        <v>198</v>
      </c>
      <c r="B978" s="1" t="s">
        <v>1313</v>
      </c>
      <c r="C978" s="1" t="s">
        <v>24</v>
      </c>
      <c r="D978" s="1">
        <v>1</v>
      </c>
      <c r="E978" s="6">
        <v>292</v>
      </c>
      <c r="F978" s="6">
        <v>292</v>
      </c>
      <c r="G978" s="2" t="s">
        <v>27</v>
      </c>
    </row>
    <row r="979" spans="1:9" x14ac:dyDescent="0.3">
      <c r="A979" s="11" t="s">
        <v>1019</v>
      </c>
      <c r="B979" s="1" t="s">
        <v>1314</v>
      </c>
      <c r="C979" s="1"/>
      <c r="D979" s="1">
        <v>3</v>
      </c>
      <c r="E979" s="6">
        <v>359</v>
      </c>
      <c r="F979" s="6">
        <v>1077</v>
      </c>
      <c r="G979" s="2" t="s">
        <v>27</v>
      </c>
    </row>
    <row r="980" spans="1:9" x14ac:dyDescent="0.3">
      <c r="A980" s="11" t="s">
        <v>293</v>
      </c>
      <c r="B980" s="1" t="s">
        <v>1315</v>
      </c>
      <c r="C980" s="1" t="s">
        <v>14</v>
      </c>
      <c r="D980" s="1">
        <v>2</v>
      </c>
      <c r="E980" s="6">
        <v>947</v>
      </c>
      <c r="F980" s="6">
        <v>1894</v>
      </c>
      <c r="G980" s="2" t="s">
        <v>33</v>
      </c>
    </row>
    <row r="981" spans="1:9" x14ac:dyDescent="0.3">
      <c r="A981" s="11" t="s">
        <v>605</v>
      </c>
      <c r="B981" s="1" t="s">
        <v>1316</v>
      </c>
      <c r="C981" s="1" t="s">
        <v>30</v>
      </c>
      <c r="D981" s="1">
        <v>1</v>
      </c>
      <c r="E981" s="6">
        <v>196</v>
      </c>
      <c r="F981" s="6">
        <v>196</v>
      </c>
      <c r="G981" s="2" t="s">
        <v>27</v>
      </c>
    </row>
    <row r="982" spans="1:9" x14ac:dyDescent="0.3">
      <c r="A982" s="11" t="s">
        <v>230</v>
      </c>
      <c r="B982" s="1" t="s">
        <v>1317</v>
      </c>
      <c r="C982" s="1" t="s">
        <v>14</v>
      </c>
      <c r="D982" s="1">
        <v>2</v>
      </c>
      <c r="E982" s="6">
        <v>726</v>
      </c>
      <c r="F982" s="6">
        <v>1452</v>
      </c>
      <c r="G982" s="2" t="s">
        <v>19</v>
      </c>
    </row>
    <row r="983" spans="1:9" x14ac:dyDescent="0.3">
      <c r="A983" s="11" t="s">
        <v>1102</v>
      </c>
      <c r="B983" s="1" t="s">
        <v>1318</v>
      </c>
      <c r="C983" s="1" t="s">
        <v>38</v>
      </c>
      <c r="D983" s="1">
        <v>1</v>
      </c>
      <c r="E983" s="6">
        <v>583</v>
      </c>
      <c r="F983" s="6">
        <v>583</v>
      </c>
      <c r="G983" s="2" t="s">
        <v>11</v>
      </c>
    </row>
    <row r="984" spans="1:9" x14ac:dyDescent="0.3">
      <c r="A984" s="11" t="s">
        <v>1319</v>
      </c>
      <c r="B984" s="1" t="s">
        <v>1320</v>
      </c>
      <c r="C984" s="1" t="s">
        <v>65</v>
      </c>
      <c r="D984" s="1">
        <v>3</v>
      </c>
      <c r="E984" s="6">
        <v>276</v>
      </c>
      <c r="F984" s="6">
        <v>828</v>
      </c>
      <c r="G984" s="2" t="s">
        <v>15</v>
      </c>
    </row>
    <row r="985" spans="1:9" x14ac:dyDescent="0.3">
      <c r="A985" s="11" t="s">
        <v>644</v>
      </c>
      <c r="B985" s="1" t="s">
        <v>1321</v>
      </c>
      <c r="C985" s="1" t="s">
        <v>65</v>
      </c>
      <c r="D985" s="1">
        <v>3</v>
      </c>
      <c r="E985" s="6">
        <v>473</v>
      </c>
      <c r="F985" s="6">
        <v>1419</v>
      </c>
      <c r="G985" s="2" t="s">
        <v>19</v>
      </c>
    </row>
    <row r="986" spans="1:9" x14ac:dyDescent="0.3">
      <c r="A986" s="11" t="s">
        <v>73</v>
      </c>
      <c r="B986" s="1" t="s">
        <v>1322</v>
      </c>
      <c r="C986" s="1" t="s">
        <v>18</v>
      </c>
      <c r="D986" s="1" t="e">
        <v>#DIV/0!</v>
      </c>
      <c r="E986" s="6" t="e">
        <v>#DIV/0!</v>
      </c>
      <c r="F986" s="6">
        <v>1785</v>
      </c>
      <c r="G986" s="2" t="s">
        <v>19</v>
      </c>
    </row>
    <row r="987" spans="1:9" x14ac:dyDescent="0.3">
      <c r="A987" s="11"/>
      <c r="B987" s="1" t="s">
        <v>1323</v>
      </c>
      <c r="C987" s="1" t="s">
        <v>65</v>
      </c>
      <c r="D987" s="1">
        <v>4</v>
      </c>
      <c r="E987" s="6">
        <v>331</v>
      </c>
      <c r="F987" s="6">
        <v>1324</v>
      </c>
      <c r="G987" s="2" t="s">
        <v>19</v>
      </c>
    </row>
    <row r="988" spans="1:9" x14ac:dyDescent="0.3">
      <c r="A988" s="11" t="s">
        <v>1324</v>
      </c>
      <c r="B988" s="1" t="s">
        <v>1325</v>
      </c>
      <c r="C988" s="1" t="s">
        <v>30</v>
      </c>
      <c r="D988" s="1">
        <v>5</v>
      </c>
      <c r="E988" s="6">
        <v>112</v>
      </c>
      <c r="F988" s="6">
        <v>560</v>
      </c>
      <c r="G988" s="2" t="s">
        <v>19</v>
      </c>
    </row>
    <row r="989" spans="1:9" x14ac:dyDescent="0.3">
      <c r="A989" s="11" t="s">
        <v>902</v>
      </c>
      <c r="B989" s="1" t="s">
        <v>1326</v>
      </c>
      <c r="C989" s="1" t="s">
        <v>24</v>
      </c>
      <c r="D989" s="1">
        <v>4</v>
      </c>
      <c r="E989" s="6">
        <v>620</v>
      </c>
      <c r="F989" s="6">
        <v>2480</v>
      </c>
      <c r="G989" s="2" t="s">
        <v>19</v>
      </c>
      <c r="I989">
        <f>COUNTBLANK(A:A)</f>
        <v>1047675</v>
      </c>
    </row>
    <row r="990" spans="1:9" x14ac:dyDescent="0.3">
      <c r="A990" s="11"/>
      <c r="B990" s="1" t="s">
        <v>1327</v>
      </c>
      <c r="C990" s="1" t="s">
        <v>38</v>
      </c>
      <c r="D990" s="1">
        <v>0</v>
      </c>
      <c r="E990" s="6">
        <v>655</v>
      </c>
      <c r="F990" s="6">
        <v>0</v>
      </c>
      <c r="G990" s="2" t="s">
        <v>11</v>
      </c>
    </row>
    <row r="991" spans="1:9" x14ac:dyDescent="0.3">
      <c r="A991" s="11" t="s">
        <v>538</v>
      </c>
      <c r="B991" s="1" t="s">
        <v>1328</v>
      </c>
      <c r="C991" s="1" t="s">
        <v>18</v>
      </c>
      <c r="D991" s="1">
        <v>1</v>
      </c>
      <c r="E991" s="6">
        <v>950</v>
      </c>
      <c r="F991" s="6">
        <v>950</v>
      </c>
      <c r="G991" s="2"/>
    </row>
    <row r="992" spans="1:9" x14ac:dyDescent="0.3">
      <c r="A992" s="11" t="s">
        <v>1019</v>
      </c>
      <c r="B992" s="1" t="s">
        <v>1329</v>
      </c>
      <c r="C992" s="1"/>
      <c r="D992" s="1">
        <v>6</v>
      </c>
      <c r="E992" s="6">
        <v>802</v>
      </c>
      <c r="F992" s="6">
        <v>4812</v>
      </c>
      <c r="G992" s="2" t="s">
        <v>11</v>
      </c>
    </row>
    <row r="993" spans="1:7" x14ac:dyDescent="0.3">
      <c r="A993" s="11"/>
      <c r="B993" s="1" t="s">
        <v>1330</v>
      </c>
      <c r="C993" s="1" t="s">
        <v>30</v>
      </c>
      <c r="D993" s="1">
        <v>2</v>
      </c>
      <c r="E993" s="6">
        <v>983</v>
      </c>
      <c r="F993" s="6">
        <v>1966</v>
      </c>
      <c r="G993" s="2" t="s">
        <v>33</v>
      </c>
    </row>
    <row r="994" spans="1:7" x14ac:dyDescent="0.3">
      <c r="A994" s="11" t="s">
        <v>568</v>
      </c>
      <c r="B994" s="1" t="s">
        <v>1331</v>
      </c>
      <c r="C994" s="1" t="s">
        <v>24</v>
      </c>
      <c r="D994" s="1">
        <v>3</v>
      </c>
      <c r="E994" s="6">
        <v>229</v>
      </c>
      <c r="F994" s="6">
        <v>687</v>
      </c>
      <c r="G994" s="2" t="s">
        <v>15</v>
      </c>
    </row>
    <row r="995" spans="1:7" x14ac:dyDescent="0.3">
      <c r="A995" s="11" t="s">
        <v>467</v>
      </c>
      <c r="B995" s="1" t="s">
        <v>1332</v>
      </c>
      <c r="C995" s="1"/>
      <c r="D995" s="1">
        <v>3</v>
      </c>
      <c r="E995" s="6">
        <v>691</v>
      </c>
      <c r="F995" s="6">
        <v>2073</v>
      </c>
      <c r="G995" s="2" t="s">
        <v>19</v>
      </c>
    </row>
    <row r="996" spans="1:7" x14ac:dyDescent="0.3">
      <c r="A996" s="11" t="s">
        <v>110</v>
      </c>
      <c r="B996" s="1" t="s">
        <v>1333</v>
      </c>
      <c r="C996" s="1" t="s">
        <v>14</v>
      </c>
      <c r="D996" s="1">
        <v>1</v>
      </c>
      <c r="E996" s="6">
        <v>745</v>
      </c>
      <c r="F996" s="6">
        <v>745</v>
      </c>
      <c r="G996" s="2" t="s">
        <v>33</v>
      </c>
    </row>
    <row r="997" spans="1:7" x14ac:dyDescent="0.3">
      <c r="A997" s="11" t="s">
        <v>118</v>
      </c>
      <c r="B997" s="1" t="s">
        <v>1334</v>
      </c>
      <c r="C997" s="1" t="s">
        <v>38</v>
      </c>
      <c r="D997" s="1">
        <v>6</v>
      </c>
      <c r="E997" s="6">
        <v>487</v>
      </c>
      <c r="F997" s="6">
        <v>2922</v>
      </c>
      <c r="G997" s="2" t="s">
        <v>19</v>
      </c>
    </row>
    <row r="998" spans="1:7" x14ac:dyDescent="0.3">
      <c r="A998" s="11" t="s">
        <v>652</v>
      </c>
      <c r="B998" s="1" t="s">
        <v>1335</v>
      </c>
      <c r="C998" s="1" t="s">
        <v>79</v>
      </c>
      <c r="D998" s="1">
        <v>3</v>
      </c>
      <c r="E998" s="6">
        <v>619</v>
      </c>
      <c r="F998" s="6">
        <v>1857</v>
      </c>
      <c r="G998" s="2" t="s">
        <v>27</v>
      </c>
    </row>
    <row r="999" spans="1:7" x14ac:dyDescent="0.3">
      <c r="A999" s="11"/>
      <c r="B999" s="1" t="s">
        <v>1336</v>
      </c>
      <c r="C999" s="1" t="s">
        <v>30</v>
      </c>
      <c r="D999" s="1">
        <v>0</v>
      </c>
      <c r="E999" s="6">
        <v>557</v>
      </c>
      <c r="F999" s="6">
        <v>0</v>
      </c>
      <c r="G999" s="2" t="s">
        <v>7</v>
      </c>
    </row>
    <row r="1000" spans="1:7" x14ac:dyDescent="0.3">
      <c r="A1000" s="11" t="s">
        <v>849</v>
      </c>
      <c r="B1000" s="1" t="s">
        <v>1337</v>
      </c>
      <c r="C1000" s="1" t="s">
        <v>14</v>
      </c>
      <c r="D1000" s="1">
        <v>1</v>
      </c>
      <c r="E1000" s="6">
        <v>98</v>
      </c>
      <c r="F1000" s="6">
        <v>98</v>
      </c>
      <c r="G1000" s="2" t="s">
        <v>7</v>
      </c>
    </row>
    <row r="1001" spans="1:7" x14ac:dyDescent="0.3">
      <c r="A1001" s="11"/>
      <c r="B1001" s="1" t="s">
        <v>1157</v>
      </c>
      <c r="C1001" s="1" t="s">
        <v>10</v>
      </c>
      <c r="D1001" s="1">
        <v>3</v>
      </c>
      <c r="E1001" s="6">
        <v>402</v>
      </c>
      <c r="F1001" s="6">
        <v>1206</v>
      </c>
      <c r="G1001" s="2" t="s">
        <v>33</v>
      </c>
    </row>
    <row r="1002" spans="1:7" x14ac:dyDescent="0.3">
      <c r="A1002" s="11"/>
      <c r="B1002" s="1"/>
      <c r="C1002" s="1"/>
      <c r="D1002" s="1" t="e">
        <v>#DIV/0!</v>
      </c>
      <c r="E1002" s="6" t="e">
        <v>#DIV/0!</v>
      </c>
      <c r="F1002" s="6" t="e">
        <v>#DIV/0!</v>
      </c>
      <c r="G1002" s="2"/>
    </row>
  </sheetData>
  <phoneticPr fontId="2"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0E274-DE26-4742-BA85-0FF961E2254C}">
  <dimension ref="A1:G1001"/>
  <sheetViews>
    <sheetView workbookViewId="0">
      <selection activeCell="F8" sqref="F8"/>
    </sheetView>
  </sheetViews>
  <sheetFormatPr defaultRowHeight="14.4" x14ac:dyDescent="0.3"/>
  <cols>
    <col min="1" max="1" width="13.88671875" customWidth="1"/>
    <col min="2" max="2" width="25.109375" customWidth="1"/>
    <col min="3" max="3" width="18.21875" customWidth="1"/>
    <col min="4" max="4" width="14.77734375" customWidth="1"/>
    <col min="5" max="5" width="19.21875" style="18" customWidth="1"/>
    <col min="6" max="6" width="20.77734375" customWidth="1"/>
    <col min="7" max="7" width="18.88671875" customWidth="1"/>
  </cols>
  <sheetData>
    <row r="1" spans="1:7" x14ac:dyDescent="0.3">
      <c r="A1" s="14" t="s">
        <v>0</v>
      </c>
      <c r="B1" s="14" t="s">
        <v>1</v>
      </c>
      <c r="C1" s="14" t="s">
        <v>2</v>
      </c>
      <c r="D1" s="14" t="s">
        <v>1343</v>
      </c>
      <c r="E1" s="15" t="s">
        <v>1342</v>
      </c>
      <c r="F1" s="14" t="s">
        <v>1341</v>
      </c>
      <c r="G1" s="14" t="s">
        <v>3</v>
      </c>
    </row>
    <row r="2" spans="1:7" x14ac:dyDescent="0.3">
      <c r="A2" s="12" t="s">
        <v>20</v>
      </c>
      <c r="B2" s="12" t="s">
        <v>183</v>
      </c>
      <c r="C2" s="12" t="s">
        <v>38</v>
      </c>
      <c r="D2" s="12">
        <v>3</v>
      </c>
      <c r="E2" s="17">
        <v>627.33333333333337</v>
      </c>
      <c r="F2" s="12">
        <v>1882</v>
      </c>
      <c r="G2" s="12" t="s">
        <v>27</v>
      </c>
    </row>
    <row r="3" spans="1:7" x14ac:dyDescent="0.3">
      <c r="A3" s="12" t="s">
        <v>138</v>
      </c>
      <c r="B3" s="12" t="s">
        <v>1092</v>
      </c>
      <c r="C3" s="12" t="s">
        <v>79</v>
      </c>
      <c r="D3" s="12">
        <v>3</v>
      </c>
      <c r="E3" s="17">
        <v>627.33333333333337</v>
      </c>
      <c r="F3" s="12">
        <v>1882</v>
      </c>
      <c r="G3" s="12" t="s">
        <v>7</v>
      </c>
    </row>
    <row r="4" spans="1:7" x14ac:dyDescent="0.3">
      <c r="A4" s="12" t="s">
        <v>110</v>
      </c>
      <c r="B4" s="12" t="s">
        <v>965</v>
      </c>
      <c r="C4" s="12" t="s">
        <v>79</v>
      </c>
      <c r="D4" s="12">
        <v>3</v>
      </c>
      <c r="E4" s="17">
        <v>627.33333333333337</v>
      </c>
      <c r="F4" s="12">
        <v>1882</v>
      </c>
      <c r="G4" s="12" t="s">
        <v>27</v>
      </c>
    </row>
    <row r="5" spans="1:7" x14ac:dyDescent="0.3">
      <c r="A5" s="12" t="s">
        <v>158</v>
      </c>
      <c r="B5" s="12" t="s">
        <v>639</v>
      </c>
      <c r="C5" s="12" t="s">
        <v>38</v>
      </c>
      <c r="D5" s="12">
        <v>3</v>
      </c>
      <c r="E5" s="17">
        <v>627.33333333333337</v>
      </c>
      <c r="F5" s="12">
        <v>1882</v>
      </c>
      <c r="G5" s="12" t="s">
        <v>33</v>
      </c>
    </row>
    <row r="6" spans="1:7" x14ac:dyDescent="0.3">
      <c r="A6" s="12" t="s">
        <v>277</v>
      </c>
      <c r="B6" s="12" t="s">
        <v>278</v>
      </c>
      <c r="C6" s="12" t="s">
        <v>30</v>
      </c>
      <c r="D6" s="12">
        <v>3</v>
      </c>
      <c r="E6" s="17">
        <v>347</v>
      </c>
      <c r="F6" s="12">
        <v>1041</v>
      </c>
      <c r="G6" s="12" t="s">
        <v>19</v>
      </c>
    </row>
    <row r="7" spans="1:7" x14ac:dyDescent="0.3">
      <c r="A7" s="12" t="s">
        <v>205</v>
      </c>
      <c r="B7" s="12" t="s">
        <v>206</v>
      </c>
      <c r="C7" s="12" t="s">
        <v>24</v>
      </c>
      <c r="D7" s="12">
        <v>3</v>
      </c>
      <c r="E7" s="17">
        <v>305</v>
      </c>
      <c r="F7" s="12">
        <v>915</v>
      </c>
      <c r="G7" s="12" t="s">
        <v>19</v>
      </c>
    </row>
    <row r="8" spans="1:7" x14ac:dyDescent="0.3">
      <c r="A8" s="12" t="s">
        <v>434</v>
      </c>
      <c r="B8" s="12" t="s">
        <v>435</v>
      </c>
      <c r="C8" s="12" t="s">
        <v>10</v>
      </c>
      <c r="D8" s="12">
        <v>3</v>
      </c>
      <c r="E8" s="17">
        <v>689</v>
      </c>
      <c r="F8" s="12">
        <v>2067</v>
      </c>
      <c r="G8" s="12" t="s">
        <v>19</v>
      </c>
    </row>
    <row r="9" spans="1:7" x14ac:dyDescent="0.3">
      <c r="A9" s="12" t="s">
        <v>262</v>
      </c>
      <c r="B9" s="12" t="s">
        <v>356</v>
      </c>
      <c r="C9" s="12" t="s">
        <v>18</v>
      </c>
      <c r="D9" s="12">
        <v>3</v>
      </c>
      <c r="E9" s="17">
        <v>178</v>
      </c>
      <c r="F9" s="12">
        <v>534</v>
      </c>
      <c r="G9" s="12" t="s">
        <v>19</v>
      </c>
    </row>
    <row r="10" spans="1:7" x14ac:dyDescent="0.3">
      <c r="A10" s="12" t="s">
        <v>1201</v>
      </c>
      <c r="B10" s="12" t="s">
        <v>1203</v>
      </c>
      <c r="C10" s="12" t="s">
        <v>18</v>
      </c>
      <c r="D10" s="12">
        <v>3</v>
      </c>
      <c r="E10" s="17">
        <v>468</v>
      </c>
      <c r="F10" s="12">
        <v>1404</v>
      </c>
      <c r="G10" s="12" t="s">
        <v>27</v>
      </c>
    </row>
    <row r="11" spans="1:7" x14ac:dyDescent="0.3">
      <c r="A11" s="12" t="s">
        <v>535</v>
      </c>
      <c r="B11" s="12" t="s">
        <v>722</v>
      </c>
      <c r="C11" s="12" t="s">
        <v>79</v>
      </c>
      <c r="D11" s="12">
        <v>3</v>
      </c>
      <c r="E11" s="17">
        <v>647</v>
      </c>
      <c r="F11" s="12">
        <v>1941</v>
      </c>
      <c r="G11" s="12" t="s">
        <v>15</v>
      </c>
    </row>
    <row r="12" spans="1:7" x14ac:dyDescent="0.3">
      <c r="A12" s="12" t="s">
        <v>786</v>
      </c>
      <c r="B12" s="12" t="s">
        <v>787</v>
      </c>
      <c r="C12" s="12" t="s">
        <v>10</v>
      </c>
      <c r="D12" s="12">
        <v>3</v>
      </c>
      <c r="E12" s="17">
        <v>992</v>
      </c>
      <c r="F12" s="12">
        <v>2976</v>
      </c>
      <c r="G12" s="12" t="s">
        <v>7</v>
      </c>
    </row>
    <row r="13" spans="1:7" x14ac:dyDescent="0.3">
      <c r="A13" s="12" t="s">
        <v>400</v>
      </c>
      <c r="B13" s="12" t="s">
        <v>1115</v>
      </c>
      <c r="C13" s="12" t="s">
        <v>30</v>
      </c>
      <c r="D13" s="12">
        <v>3</v>
      </c>
      <c r="E13" s="17">
        <v>895</v>
      </c>
      <c r="F13" s="12">
        <v>2685</v>
      </c>
      <c r="G13" s="12" t="s">
        <v>33</v>
      </c>
    </row>
    <row r="14" spans="1:7" x14ac:dyDescent="0.3">
      <c r="A14" s="12" t="s">
        <v>776</v>
      </c>
      <c r="B14" s="12" t="s">
        <v>927</v>
      </c>
      <c r="C14" s="12" t="s">
        <v>79</v>
      </c>
      <c r="D14" s="12">
        <v>3</v>
      </c>
      <c r="E14" s="17">
        <v>211</v>
      </c>
      <c r="F14" s="12">
        <v>633</v>
      </c>
      <c r="G14" s="12" t="s">
        <v>15</v>
      </c>
    </row>
    <row r="15" spans="1:7" x14ac:dyDescent="0.3">
      <c r="A15" s="12" t="s">
        <v>699</v>
      </c>
      <c r="B15" s="12" t="s">
        <v>700</v>
      </c>
      <c r="C15" s="12" t="s">
        <v>6</v>
      </c>
      <c r="D15" s="12">
        <v>3</v>
      </c>
      <c r="E15" s="17">
        <v>356</v>
      </c>
      <c r="F15" s="12">
        <v>1068</v>
      </c>
      <c r="G15" s="12" t="s">
        <v>11</v>
      </c>
    </row>
    <row r="16" spans="1:7" x14ac:dyDescent="0.3">
      <c r="A16" s="12" t="s">
        <v>559</v>
      </c>
      <c r="B16" s="12" t="s">
        <v>822</v>
      </c>
      <c r="C16" s="12" t="s">
        <v>65</v>
      </c>
      <c r="D16" s="12">
        <v>3</v>
      </c>
      <c r="E16" s="17">
        <v>788</v>
      </c>
      <c r="F16" s="12">
        <v>2364</v>
      </c>
      <c r="G16" s="12" t="s">
        <v>19</v>
      </c>
    </row>
    <row r="17" spans="1:7" x14ac:dyDescent="0.3">
      <c r="A17" s="12" t="s">
        <v>614</v>
      </c>
      <c r="B17" s="12" t="s">
        <v>756</v>
      </c>
      <c r="C17" s="12" t="s">
        <v>14</v>
      </c>
      <c r="D17" s="12">
        <v>3</v>
      </c>
      <c r="E17" s="17">
        <v>684</v>
      </c>
      <c r="F17" s="12">
        <v>2052</v>
      </c>
      <c r="G17" s="12" t="s">
        <v>33</v>
      </c>
    </row>
    <row r="18" spans="1:7" x14ac:dyDescent="0.3">
      <c r="A18" s="12" t="s">
        <v>28</v>
      </c>
      <c r="B18" s="12" t="s">
        <v>680</v>
      </c>
      <c r="C18" s="12" t="s">
        <v>6</v>
      </c>
      <c r="D18" s="12">
        <v>1</v>
      </c>
      <c r="E18" s="17">
        <v>1882</v>
      </c>
      <c r="F18" s="12">
        <v>1882</v>
      </c>
      <c r="G18" s="12" t="s">
        <v>19</v>
      </c>
    </row>
    <row r="19" spans="1:7" x14ac:dyDescent="0.3">
      <c r="A19" s="12" t="s">
        <v>166</v>
      </c>
      <c r="B19" s="12" t="s">
        <v>212</v>
      </c>
      <c r="C19" s="12" t="s">
        <v>68</v>
      </c>
      <c r="D19" s="12">
        <v>2</v>
      </c>
      <c r="E19" s="17">
        <v>941</v>
      </c>
      <c r="F19" s="12">
        <v>1882</v>
      </c>
      <c r="G19" s="12" t="s">
        <v>19</v>
      </c>
    </row>
    <row r="20" spans="1:7" x14ac:dyDescent="0.3">
      <c r="A20" s="12" t="s">
        <v>289</v>
      </c>
      <c r="B20" s="12" t="s">
        <v>857</v>
      </c>
      <c r="C20" s="12" t="s">
        <v>30</v>
      </c>
      <c r="D20" s="12">
        <v>4</v>
      </c>
      <c r="E20" s="17">
        <v>470.5</v>
      </c>
      <c r="F20" s="12">
        <v>1882</v>
      </c>
      <c r="G20" s="12" t="s">
        <v>27</v>
      </c>
    </row>
    <row r="21" spans="1:7" x14ac:dyDescent="0.3">
      <c r="A21" s="12" t="s">
        <v>108</v>
      </c>
      <c r="B21" s="12" t="s">
        <v>697</v>
      </c>
      <c r="C21" s="12" t="s">
        <v>68</v>
      </c>
      <c r="D21" s="12">
        <v>5</v>
      </c>
      <c r="E21" s="17">
        <v>376.4</v>
      </c>
      <c r="F21" s="12">
        <v>1882</v>
      </c>
      <c r="G21" s="12" t="s">
        <v>7</v>
      </c>
    </row>
    <row r="22" spans="1:7" x14ac:dyDescent="0.3">
      <c r="A22" s="12" t="s">
        <v>45</v>
      </c>
      <c r="B22" s="12" t="s">
        <v>905</v>
      </c>
      <c r="C22" s="12" t="s">
        <v>65</v>
      </c>
      <c r="D22" s="12">
        <v>4</v>
      </c>
      <c r="E22" s="17">
        <v>470.5</v>
      </c>
      <c r="F22" s="12">
        <v>1882</v>
      </c>
      <c r="G22" s="12" t="s">
        <v>11</v>
      </c>
    </row>
    <row r="23" spans="1:7" x14ac:dyDescent="0.3">
      <c r="A23" s="12" t="s">
        <v>106</v>
      </c>
      <c r="B23" s="12" t="s">
        <v>107</v>
      </c>
      <c r="C23" s="12" t="s">
        <v>30</v>
      </c>
      <c r="D23" s="12">
        <v>4</v>
      </c>
      <c r="E23" s="17">
        <v>470.5</v>
      </c>
      <c r="F23" s="12">
        <v>1882</v>
      </c>
      <c r="G23" s="12" t="s">
        <v>27</v>
      </c>
    </row>
    <row r="24" spans="1:7" x14ac:dyDescent="0.3">
      <c r="A24" s="12" t="s">
        <v>142</v>
      </c>
      <c r="B24" s="12" t="s">
        <v>143</v>
      </c>
      <c r="C24" s="12" t="s">
        <v>65</v>
      </c>
      <c r="D24" s="12">
        <v>4</v>
      </c>
      <c r="E24" s="17">
        <v>470.5</v>
      </c>
      <c r="F24" s="12">
        <v>1882</v>
      </c>
      <c r="G24" s="12" t="s">
        <v>33</v>
      </c>
    </row>
    <row r="25" spans="1:7" x14ac:dyDescent="0.3">
      <c r="A25" s="12" t="s">
        <v>647</v>
      </c>
      <c r="B25" s="12" t="s">
        <v>648</v>
      </c>
      <c r="C25" s="12" t="s">
        <v>10</v>
      </c>
      <c r="D25" s="12">
        <v>6</v>
      </c>
      <c r="E25" s="17">
        <v>313.66666666666669</v>
      </c>
      <c r="F25" s="12">
        <v>1882</v>
      </c>
      <c r="G25" s="12" t="s">
        <v>11</v>
      </c>
    </row>
    <row r="26" spans="1:7" x14ac:dyDescent="0.3">
      <c r="A26" s="12" t="s">
        <v>357</v>
      </c>
      <c r="B26" s="12" t="s">
        <v>358</v>
      </c>
      <c r="C26" s="12" t="s">
        <v>6</v>
      </c>
      <c r="D26" s="12">
        <v>3</v>
      </c>
      <c r="E26" s="17">
        <v>627.33333333333337</v>
      </c>
      <c r="F26" s="12">
        <v>1882</v>
      </c>
      <c r="G26" s="12" t="s">
        <v>15</v>
      </c>
    </row>
    <row r="27" spans="1:7" x14ac:dyDescent="0.3">
      <c r="A27" s="12" t="s">
        <v>728</v>
      </c>
      <c r="B27" s="12" t="s">
        <v>898</v>
      </c>
      <c r="C27" s="12" t="s">
        <v>10</v>
      </c>
      <c r="D27" s="12">
        <v>4</v>
      </c>
      <c r="E27" s="17">
        <v>470.5</v>
      </c>
      <c r="F27" s="12">
        <v>1882</v>
      </c>
      <c r="G27" s="12" t="s">
        <v>11</v>
      </c>
    </row>
    <row r="28" spans="1:7" x14ac:dyDescent="0.3">
      <c r="A28" s="12" t="s">
        <v>193</v>
      </c>
      <c r="B28" s="12" t="s">
        <v>225</v>
      </c>
      <c r="C28" s="12" t="s">
        <v>30</v>
      </c>
      <c r="D28" s="12">
        <v>2</v>
      </c>
      <c r="E28" s="17">
        <v>941</v>
      </c>
      <c r="F28" s="12">
        <v>1882</v>
      </c>
      <c r="G28" s="12" t="s">
        <v>7</v>
      </c>
    </row>
    <row r="29" spans="1:7" x14ac:dyDescent="0.3">
      <c r="A29" s="12" t="s">
        <v>834</v>
      </c>
      <c r="B29" s="12" t="s">
        <v>835</v>
      </c>
      <c r="C29" s="12" t="s">
        <v>30</v>
      </c>
      <c r="D29" s="12">
        <v>2</v>
      </c>
      <c r="E29" s="17">
        <v>941</v>
      </c>
      <c r="F29" s="12">
        <v>1882</v>
      </c>
      <c r="G29" s="12" t="s">
        <v>15</v>
      </c>
    </row>
    <row r="30" spans="1:7" x14ac:dyDescent="0.3">
      <c r="A30" s="12" t="s">
        <v>1057</v>
      </c>
      <c r="B30" s="12" t="s">
        <v>1182</v>
      </c>
      <c r="C30" s="12" t="s">
        <v>30</v>
      </c>
      <c r="D30" s="12">
        <v>4</v>
      </c>
      <c r="E30" s="17">
        <v>470.5</v>
      </c>
      <c r="F30" s="12">
        <v>1882</v>
      </c>
      <c r="G30" s="12" t="s">
        <v>11</v>
      </c>
    </row>
    <row r="31" spans="1:7" x14ac:dyDescent="0.3">
      <c r="A31" s="12" t="s">
        <v>181</v>
      </c>
      <c r="B31" s="12" t="s">
        <v>182</v>
      </c>
      <c r="C31" s="12" t="s">
        <v>79</v>
      </c>
      <c r="D31" s="12">
        <v>2</v>
      </c>
      <c r="E31" s="17">
        <v>941</v>
      </c>
      <c r="F31" s="12">
        <v>1882</v>
      </c>
      <c r="G31" s="12" t="s">
        <v>7</v>
      </c>
    </row>
    <row r="32" spans="1:7" x14ac:dyDescent="0.3">
      <c r="A32" s="12" t="s">
        <v>116</v>
      </c>
      <c r="B32" s="12" t="s">
        <v>638</v>
      </c>
      <c r="C32" s="12" t="s">
        <v>30</v>
      </c>
      <c r="D32" s="12">
        <v>4</v>
      </c>
      <c r="E32" s="17">
        <v>470.5</v>
      </c>
      <c r="F32" s="12">
        <v>1882</v>
      </c>
      <c r="G32" s="12" t="s">
        <v>33</v>
      </c>
    </row>
    <row r="33" spans="1:7" x14ac:dyDescent="0.3">
      <c r="A33" s="12" t="s">
        <v>908</v>
      </c>
      <c r="B33" s="12" t="s">
        <v>1112</v>
      </c>
      <c r="C33" s="12" t="s">
        <v>24</v>
      </c>
      <c r="D33" s="12">
        <v>3</v>
      </c>
      <c r="E33" s="17">
        <v>1000</v>
      </c>
      <c r="F33" s="12">
        <v>3000</v>
      </c>
      <c r="G33" s="12" t="s">
        <v>19</v>
      </c>
    </row>
    <row r="34" spans="1:7" x14ac:dyDescent="0.3">
      <c r="A34" s="12" t="s">
        <v>439</v>
      </c>
      <c r="B34" s="12" t="s">
        <v>440</v>
      </c>
      <c r="C34" s="12" t="s">
        <v>6</v>
      </c>
      <c r="D34" s="12">
        <v>3</v>
      </c>
      <c r="E34" s="17">
        <v>892</v>
      </c>
      <c r="F34" s="12">
        <v>2676</v>
      </c>
      <c r="G34" s="12" t="s">
        <v>19</v>
      </c>
    </row>
    <row r="35" spans="1:7" x14ac:dyDescent="0.3">
      <c r="A35" s="12" t="s">
        <v>312</v>
      </c>
      <c r="B35" s="12" t="s">
        <v>450</v>
      </c>
      <c r="C35" s="12" t="s">
        <v>18</v>
      </c>
      <c r="D35" s="12">
        <v>3</v>
      </c>
      <c r="E35" s="17">
        <v>1193.3333333333333</v>
      </c>
      <c r="F35" s="12">
        <v>3580</v>
      </c>
      <c r="G35" s="12" t="s">
        <v>15</v>
      </c>
    </row>
    <row r="36" spans="1:7" x14ac:dyDescent="0.3">
      <c r="A36" s="12" t="s">
        <v>436</v>
      </c>
      <c r="B36" s="12" t="s">
        <v>515</v>
      </c>
      <c r="C36" s="12" t="s">
        <v>68</v>
      </c>
      <c r="D36" s="12">
        <v>3</v>
      </c>
      <c r="E36" s="17">
        <v>1602</v>
      </c>
      <c r="F36" s="12">
        <v>4806</v>
      </c>
      <c r="G36" s="12" t="s">
        <v>19</v>
      </c>
    </row>
    <row r="37" spans="1:7" x14ac:dyDescent="0.3">
      <c r="A37" s="12" t="s">
        <v>354</v>
      </c>
      <c r="B37" s="12" t="s">
        <v>488</v>
      </c>
      <c r="C37" s="12" t="s">
        <v>10</v>
      </c>
      <c r="D37" s="12">
        <v>3</v>
      </c>
      <c r="E37" s="17">
        <v>620</v>
      </c>
      <c r="F37" s="12">
        <v>1860</v>
      </c>
      <c r="G37" s="12" t="s">
        <v>19</v>
      </c>
    </row>
    <row r="38" spans="1:7" x14ac:dyDescent="0.3">
      <c r="A38" s="12" t="s">
        <v>125</v>
      </c>
      <c r="B38" s="12" t="s">
        <v>471</v>
      </c>
      <c r="C38" s="12" t="s">
        <v>18</v>
      </c>
      <c r="D38" s="12">
        <v>3</v>
      </c>
      <c r="E38" s="17">
        <v>162</v>
      </c>
      <c r="F38" s="12">
        <v>486</v>
      </c>
      <c r="G38" s="12" t="s">
        <v>33</v>
      </c>
    </row>
    <row r="39" spans="1:7" x14ac:dyDescent="0.3">
      <c r="A39" s="12" t="s">
        <v>1259</v>
      </c>
      <c r="B39" s="12" t="s">
        <v>1260</v>
      </c>
      <c r="C39" s="12" t="s">
        <v>38</v>
      </c>
      <c r="D39" s="12">
        <v>3</v>
      </c>
      <c r="E39" s="17">
        <v>332</v>
      </c>
      <c r="F39" s="12">
        <v>996</v>
      </c>
      <c r="G39" s="12" t="s">
        <v>7</v>
      </c>
    </row>
    <row r="40" spans="1:7" x14ac:dyDescent="0.3">
      <c r="A40" s="12" t="s">
        <v>299</v>
      </c>
      <c r="B40" s="12" t="s">
        <v>300</v>
      </c>
      <c r="C40" s="12" t="s">
        <v>10</v>
      </c>
      <c r="D40" s="12">
        <v>3</v>
      </c>
      <c r="E40" s="17">
        <v>558</v>
      </c>
      <c r="F40" s="12">
        <v>1674</v>
      </c>
      <c r="G40" s="12" t="s">
        <v>11</v>
      </c>
    </row>
    <row r="41" spans="1:7" x14ac:dyDescent="0.3">
      <c r="A41" s="12" t="s">
        <v>53</v>
      </c>
      <c r="B41" s="12" t="s">
        <v>1022</v>
      </c>
      <c r="C41" s="12" t="s">
        <v>68</v>
      </c>
      <c r="D41" s="12">
        <v>3</v>
      </c>
      <c r="E41" s="17">
        <v>469.33333333333331</v>
      </c>
      <c r="F41" s="12">
        <v>1408</v>
      </c>
      <c r="G41" s="12" t="s">
        <v>33</v>
      </c>
    </row>
    <row r="42" spans="1:7" x14ac:dyDescent="0.3">
      <c r="A42" s="12" t="s">
        <v>1078</v>
      </c>
      <c r="B42" s="12" t="s">
        <v>1079</v>
      </c>
      <c r="C42" s="12" t="s">
        <v>30</v>
      </c>
      <c r="D42" s="12">
        <v>3</v>
      </c>
      <c r="E42" s="17">
        <v>752</v>
      </c>
      <c r="F42" s="12">
        <v>2256</v>
      </c>
      <c r="G42" s="12" t="s">
        <v>15</v>
      </c>
    </row>
    <row r="43" spans="1:7" x14ac:dyDescent="0.3">
      <c r="A43" s="12" t="s">
        <v>41</v>
      </c>
      <c r="B43" s="12" t="s">
        <v>161</v>
      </c>
      <c r="C43" s="12" t="s">
        <v>18</v>
      </c>
      <c r="D43" s="12">
        <v>3</v>
      </c>
      <c r="E43" s="17">
        <v>582</v>
      </c>
      <c r="F43" s="12">
        <v>1746</v>
      </c>
      <c r="G43" s="12" t="s">
        <v>11</v>
      </c>
    </row>
    <row r="44" spans="1:7" x14ac:dyDescent="0.3">
      <c r="A44" s="12" t="s">
        <v>538</v>
      </c>
      <c r="B44" s="12" t="s">
        <v>591</v>
      </c>
      <c r="C44" s="12" t="s">
        <v>10</v>
      </c>
      <c r="D44" s="12">
        <v>3</v>
      </c>
      <c r="E44" s="17">
        <v>185.33333333333334</v>
      </c>
      <c r="F44" s="12">
        <v>556</v>
      </c>
      <c r="G44" s="12" t="s">
        <v>11</v>
      </c>
    </row>
    <row r="45" spans="1:7" x14ac:dyDescent="0.3">
      <c r="A45" s="12" t="s">
        <v>73</v>
      </c>
      <c r="B45" s="12" t="s">
        <v>1322</v>
      </c>
      <c r="C45" s="12" t="s">
        <v>18</v>
      </c>
      <c r="D45" s="12">
        <v>3</v>
      </c>
      <c r="E45" s="17">
        <v>595</v>
      </c>
      <c r="F45" s="12">
        <v>1785</v>
      </c>
      <c r="G45" s="12" t="s">
        <v>19</v>
      </c>
    </row>
    <row r="46" spans="1:7" x14ac:dyDescent="0.3">
      <c r="A46" s="12" t="s">
        <v>217</v>
      </c>
      <c r="B46" s="12" t="s">
        <v>502</v>
      </c>
      <c r="C46" s="12" t="s">
        <v>18</v>
      </c>
      <c r="D46" s="12">
        <v>4</v>
      </c>
      <c r="E46" s="17">
        <v>258</v>
      </c>
      <c r="F46" s="12">
        <v>1032</v>
      </c>
      <c r="G46" s="12" t="s">
        <v>7</v>
      </c>
    </row>
    <row r="47" spans="1:7" x14ac:dyDescent="0.3">
      <c r="A47" s="12" t="s">
        <v>12</v>
      </c>
      <c r="B47" s="12" t="s">
        <v>1222</v>
      </c>
      <c r="C47" s="12" t="s">
        <v>14</v>
      </c>
      <c r="D47" s="12">
        <v>3</v>
      </c>
      <c r="E47" s="17">
        <v>132</v>
      </c>
      <c r="F47" s="12">
        <v>396</v>
      </c>
      <c r="G47" s="12" t="s">
        <v>33</v>
      </c>
    </row>
    <row r="48" spans="1:7" x14ac:dyDescent="0.3">
      <c r="A48" s="12" t="s">
        <v>12</v>
      </c>
      <c r="B48" s="12" t="s">
        <v>804</v>
      </c>
      <c r="C48" s="12" t="s">
        <v>38</v>
      </c>
      <c r="D48" s="12">
        <v>3</v>
      </c>
      <c r="E48" s="17">
        <v>728</v>
      </c>
      <c r="F48" s="12">
        <v>2184</v>
      </c>
      <c r="G48" s="12" t="s">
        <v>11</v>
      </c>
    </row>
    <row r="49" spans="1:7" x14ac:dyDescent="0.3">
      <c r="A49" s="12" t="s">
        <v>507</v>
      </c>
      <c r="B49" s="12" t="s">
        <v>80</v>
      </c>
      <c r="C49" s="12" t="s">
        <v>14</v>
      </c>
      <c r="D49" s="12">
        <v>6</v>
      </c>
      <c r="E49" s="17">
        <v>756</v>
      </c>
      <c r="F49" s="12">
        <v>4536</v>
      </c>
      <c r="G49" s="12" t="s">
        <v>33</v>
      </c>
    </row>
    <row r="50" spans="1:7" x14ac:dyDescent="0.3">
      <c r="A50" s="12" t="s">
        <v>4</v>
      </c>
      <c r="B50" s="12" t="s">
        <v>580</v>
      </c>
      <c r="C50" s="12" t="s">
        <v>14</v>
      </c>
      <c r="D50" s="12">
        <v>4</v>
      </c>
      <c r="E50" s="17">
        <v>567</v>
      </c>
      <c r="F50" s="12">
        <v>2268</v>
      </c>
      <c r="G50" s="12" t="s">
        <v>19</v>
      </c>
    </row>
    <row r="51" spans="1:7" x14ac:dyDescent="0.3">
      <c r="A51" s="12" t="s">
        <v>483</v>
      </c>
      <c r="B51" s="12" t="s">
        <v>984</v>
      </c>
      <c r="C51" s="12" t="s">
        <v>18</v>
      </c>
      <c r="D51" s="12">
        <v>1</v>
      </c>
      <c r="E51" s="17">
        <v>667</v>
      </c>
      <c r="F51" s="12">
        <v>667</v>
      </c>
      <c r="G51" s="12" t="s">
        <v>19</v>
      </c>
    </row>
    <row r="52" spans="1:7" x14ac:dyDescent="0.3">
      <c r="A52" s="12" t="s">
        <v>1118</v>
      </c>
      <c r="B52" s="12" t="s">
        <v>1159</v>
      </c>
      <c r="C52" s="12" t="s">
        <v>30</v>
      </c>
      <c r="D52" s="12">
        <v>2</v>
      </c>
      <c r="E52" s="17">
        <v>572</v>
      </c>
      <c r="F52" s="12">
        <v>1144</v>
      </c>
      <c r="G52" s="12" t="s">
        <v>11</v>
      </c>
    </row>
    <row r="53" spans="1:7" x14ac:dyDescent="0.3">
      <c r="A53" s="12" t="s">
        <v>1118</v>
      </c>
      <c r="B53" s="12" t="s">
        <v>1120</v>
      </c>
      <c r="C53" s="12" t="s">
        <v>10</v>
      </c>
      <c r="D53" s="12">
        <v>4</v>
      </c>
      <c r="E53" s="17">
        <v>746</v>
      </c>
      <c r="F53" s="12">
        <v>2984</v>
      </c>
      <c r="G53" s="12" t="s">
        <v>11</v>
      </c>
    </row>
    <row r="54" spans="1:7" x14ac:dyDescent="0.3">
      <c r="A54" s="12" t="s">
        <v>28</v>
      </c>
      <c r="B54" s="12" t="s">
        <v>586</v>
      </c>
      <c r="C54" s="12" t="s">
        <v>14</v>
      </c>
      <c r="D54" s="12">
        <v>4</v>
      </c>
      <c r="E54" s="17">
        <v>411</v>
      </c>
      <c r="F54" s="12">
        <v>1644</v>
      </c>
      <c r="G54" s="12" t="s">
        <v>11</v>
      </c>
    </row>
    <row r="55" spans="1:7" x14ac:dyDescent="0.3">
      <c r="A55" s="12" t="s">
        <v>908</v>
      </c>
      <c r="B55" s="12" t="s">
        <v>978</v>
      </c>
      <c r="C55" s="12" t="s">
        <v>38</v>
      </c>
      <c r="D55" s="12">
        <v>1</v>
      </c>
      <c r="E55" s="17">
        <v>947</v>
      </c>
      <c r="F55" s="12">
        <v>947</v>
      </c>
      <c r="G55" s="12" t="s">
        <v>27</v>
      </c>
    </row>
    <row r="56" spans="1:7" x14ac:dyDescent="0.3">
      <c r="A56" s="12" t="s">
        <v>908</v>
      </c>
      <c r="B56" s="12" t="s">
        <v>992</v>
      </c>
      <c r="C56" s="12" t="s">
        <v>10</v>
      </c>
      <c r="D56" s="12">
        <v>5</v>
      </c>
      <c r="E56" s="17">
        <v>606</v>
      </c>
      <c r="F56" s="12">
        <v>3030</v>
      </c>
      <c r="G56" s="12" t="s">
        <v>11</v>
      </c>
    </row>
    <row r="57" spans="1:7" x14ac:dyDescent="0.3">
      <c r="A57" s="12" t="s">
        <v>281</v>
      </c>
      <c r="B57" s="12" t="s">
        <v>340</v>
      </c>
      <c r="C57" s="12" t="s">
        <v>18</v>
      </c>
      <c r="D57" s="12">
        <v>1</v>
      </c>
      <c r="E57" s="17">
        <v>786</v>
      </c>
      <c r="F57" s="12">
        <v>786</v>
      </c>
      <c r="G57" s="12" t="s">
        <v>33</v>
      </c>
    </row>
    <row r="58" spans="1:7" x14ac:dyDescent="0.3">
      <c r="A58" s="12" t="s">
        <v>281</v>
      </c>
      <c r="B58" s="12" t="s">
        <v>1263</v>
      </c>
      <c r="C58" s="12" t="s">
        <v>6</v>
      </c>
      <c r="D58" s="12">
        <v>4</v>
      </c>
      <c r="E58" s="17">
        <v>792</v>
      </c>
      <c r="F58" s="12">
        <v>3168</v>
      </c>
      <c r="G58" s="12" t="s">
        <v>15</v>
      </c>
    </row>
    <row r="59" spans="1:7" x14ac:dyDescent="0.3">
      <c r="A59" s="12" t="s">
        <v>997</v>
      </c>
      <c r="B59" s="12" t="s">
        <v>998</v>
      </c>
      <c r="C59" s="12" t="s">
        <v>6</v>
      </c>
      <c r="D59" s="12">
        <v>5</v>
      </c>
      <c r="E59" s="17">
        <v>187</v>
      </c>
      <c r="F59" s="12">
        <v>935</v>
      </c>
      <c r="G59" s="12" t="s">
        <v>27</v>
      </c>
    </row>
    <row r="60" spans="1:7" x14ac:dyDescent="0.3">
      <c r="A60" s="12" t="s">
        <v>1244</v>
      </c>
      <c r="B60" s="12" t="s">
        <v>1245</v>
      </c>
      <c r="C60" s="12" t="s">
        <v>10</v>
      </c>
      <c r="D60" s="12">
        <v>5</v>
      </c>
      <c r="E60" s="17">
        <v>524</v>
      </c>
      <c r="F60" s="12">
        <v>2620</v>
      </c>
      <c r="G60" s="12" t="s">
        <v>33</v>
      </c>
    </row>
    <row r="61" spans="1:7" x14ac:dyDescent="0.3">
      <c r="A61" s="12" t="s">
        <v>563</v>
      </c>
      <c r="B61" s="12" t="s">
        <v>564</v>
      </c>
      <c r="C61" s="12" t="s">
        <v>30</v>
      </c>
      <c r="D61" s="12">
        <v>3</v>
      </c>
      <c r="E61" s="17">
        <v>560</v>
      </c>
      <c r="F61" s="12">
        <v>1680</v>
      </c>
      <c r="G61" s="12" t="s">
        <v>27</v>
      </c>
    </row>
    <row r="62" spans="1:7" x14ac:dyDescent="0.3">
      <c r="A62" s="12" t="s">
        <v>324</v>
      </c>
      <c r="B62" s="12" t="s">
        <v>656</v>
      </c>
      <c r="C62" s="12" t="s">
        <v>24</v>
      </c>
      <c r="D62" s="12">
        <v>2</v>
      </c>
      <c r="E62" s="17">
        <v>424</v>
      </c>
      <c r="F62" s="12">
        <v>848</v>
      </c>
      <c r="G62" s="12" t="s">
        <v>7</v>
      </c>
    </row>
    <row r="63" spans="1:7" x14ac:dyDescent="0.3">
      <c r="A63" s="12" t="s">
        <v>935</v>
      </c>
      <c r="B63" s="12" t="s">
        <v>936</v>
      </c>
      <c r="C63" s="12" t="s">
        <v>14</v>
      </c>
      <c r="D63" s="12">
        <v>5</v>
      </c>
      <c r="E63" s="17">
        <v>254</v>
      </c>
      <c r="F63" s="12">
        <v>1270</v>
      </c>
      <c r="G63" s="12" t="s">
        <v>19</v>
      </c>
    </row>
    <row r="64" spans="1:7" x14ac:dyDescent="0.3">
      <c r="A64" s="12" t="s">
        <v>849</v>
      </c>
      <c r="B64" s="12" t="s">
        <v>1337</v>
      </c>
      <c r="C64" s="12" t="s">
        <v>14</v>
      </c>
      <c r="D64" s="12">
        <v>1</v>
      </c>
      <c r="E64" s="17">
        <v>98</v>
      </c>
      <c r="F64" s="12">
        <v>98</v>
      </c>
      <c r="G64" s="12" t="s">
        <v>7</v>
      </c>
    </row>
    <row r="65" spans="1:7" x14ac:dyDescent="0.3">
      <c r="A65" s="12" t="s">
        <v>849</v>
      </c>
      <c r="B65" s="12" t="s">
        <v>1157</v>
      </c>
      <c r="C65" s="12" t="s">
        <v>10</v>
      </c>
      <c r="D65" s="12">
        <v>3</v>
      </c>
      <c r="E65" s="17">
        <v>402</v>
      </c>
      <c r="F65" s="12">
        <v>1206</v>
      </c>
      <c r="G65" s="12" t="s">
        <v>33</v>
      </c>
    </row>
    <row r="66" spans="1:7" x14ac:dyDescent="0.3">
      <c r="A66" s="12" t="s">
        <v>166</v>
      </c>
      <c r="B66" s="12" t="s">
        <v>521</v>
      </c>
      <c r="C66" s="12" t="s">
        <v>18</v>
      </c>
      <c r="D66" s="12">
        <v>2</v>
      </c>
      <c r="E66" s="17">
        <v>429</v>
      </c>
      <c r="F66" s="12">
        <v>858</v>
      </c>
      <c r="G66" s="12" t="s">
        <v>11</v>
      </c>
    </row>
    <row r="67" spans="1:7" x14ac:dyDescent="0.3">
      <c r="A67" s="12" t="s">
        <v>605</v>
      </c>
      <c r="B67" s="12" t="s">
        <v>606</v>
      </c>
      <c r="C67" s="12" t="s">
        <v>30</v>
      </c>
      <c r="D67" s="12">
        <v>4</v>
      </c>
      <c r="E67" s="17">
        <v>160</v>
      </c>
      <c r="F67" s="12">
        <v>640</v>
      </c>
      <c r="G67" s="12" t="s">
        <v>33</v>
      </c>
    </row>
    <row r="68" spans="1:7" x14ac:dyDescent="0.3">
      <c r="A68" s="12" t="s">
        <v>605</v>
      </c>
      <c r="B68" s="12" t="s">
        <v>674</v>
      </c>
      <c r="C68" s="12" t="s">
        <v>14</v>
      </c>
      <c r="D68" s="12">
        <v>3</v>
      </c>
      <c r="E68" s="17">
        <v>780</v>
      </c>
      <c r="F68" s="12">
        <v>2340</v>
      </c>
      <c r="G68" s="12" t="s">
        <v>11</v>
      </c>
    </row>
    <row r="69" spans="1:7" x14ac:dyDescent="0.3">
      <c r="A69" s="12" t="s">
        <v>173</v>
      </c>
      <c r="B69" s="12" t="s">
        <v>174</v>
      </c>
      <c r="C69" s="12" t="s">
        <v>79</v>
      </c>
      <c r="D69" s="12">
        <v>6</v>
      </c>
      <c r="E69" s="17">
        <v>83</v>
      </c>
      <c r="F69" s="12">
        <v>498</v>
      </c>
      <c r="G69" s="12" t="s">
        <v>19</v>
      </c>
    </row>
    <row r="70" spans="1:7" x14ac:dyDescent="0.3">
      <c r="A70" s="12" t="s">
        <v>247</v>
      </c>
      <c r="B70" s="12" t="s">
        <v>248</v>
      </c>
      <c r="C70" s="12" t="s">
        <v>65</v>
      </c>
      <c r="D70" s="12">
        <v>3</v>
      </c>
      <c r="E70" s="17">
        <v>188</v>
      </c>
      <c r="F70" s="12">
        <v>564</v>
      </c>
      <c r="G70" s="12" t="s">
        <v>7</v>
      </c>
    </row>
    <row r="71" spans="1:7" x14ac:dyDescent="0.3">
      <c r="A71" s="12" t="s">
        <v>247</v>
      </c>
      <c r="B71" s="12" t="s">
        <v>1048</v>
      </c>
      <c r="C71" s="12" t="s">
        <v>30</v>
      </c>
      <c r="D71" s="12">
        <v>3</v>
      </c>
      <c r="E71" s="17">
        <v>317</v>
      </c>
      <c r="F71" s="12">
        <v>951</v>
      </c>
      <c r="G71" s="12" t="s">
        <v>27</v>
      </c>
    </row>
    <row r="72" spans="1:7" x14ac:dyDescent="0.3">
      <c r="A72" s="12" t="s">
        <v>247</v>
      </c>
      <c r="B72" s="12" t="s">
        <v>744</v>
      </c>
      <c r="C72" s="12" t="s">
        <v>38</v>
      </c>
      <c r="D72" s="12">
        <v>5</v>
      </c>
      <c r="E72" s="17">
        <v>283</v>
      </c>
      <c r="F72" s="12">
        <v>1415</v>
      </c>
      <c r="G72" s="12" t="s">
        <v>19</v>
      </c>
    </row>
    <row r="73" spans="1:7" x14ac:dyDescent="0.3">
      <c r="A73" s="12" t="s">
        <v>247</v>
      </c>
      <c r="B73" s="12" t="s">
        <v>298</v>
      </c>
      <c r="C73" s="12" t="s">
        <v>79</v>
      </c>
      <c r="D73" s="12">
        <v>5</v>
      </c>
      <c r="E73" s="17">
        <v>570</v>
      </c>
      <c r="F73" s="12">
        <v>2850</v>
      </c>
      <c r="G73" s="12" t="s">
        <v>11</v>
      </c>
    </row>
    <row r="74" spans="1:7" x14ac:dyDescent="0.3">
      <c r="A74" s="12" t="s">
        <v>289</v>
      </c>
      <c r="B74" s="12" t="s">
        <v>572</v>
      </c>
      <c r="C74" s="12" t="s">
        <v>6</v>
      </c>
      <c r="D74" s="12">
        <v>5</v>
      </c>
      <c r="E74" s="17">
        <v>365</v>
      </c>
      <c r="F74" s="12">
        <v>1825</v>
      </c>
      <c r="G74" s="12" t="s">
        <v>11</v>
      </c>
    </row>
    <row r="75" spans="1:7" x14ac:dyDescent="0.3">
      <c r="A75" s="12" t="s">
        <v>289</v>
      </c>
      <c r="B75" s="12" t="s">
        <v>987</v>
      </c>
      <c r="C75" s="12" t="s">
        <v>68</v>
      </c>
      <c r="D75" s="12">
        <v>5</v>
      </c>
      <c r="E75" s="17">
        <v>393</v>
      </c>
      <c r="F75" s="12">
        <v>1965</v>
      </c>
      <c r="G75" s="12" t="s">
        <v>27</v>
      </c>
    </row>
    <row r="76" spans="1:7" x14ac:dyDescent="0.3">
      <c r="A76" s="12" t="s">
        <v>289</v>
      </c>
      <c r="B76" s="12" t="s">
        <v>1213</v>
      </c>
      <c r="C76" s="12" t="s">
        <v>10</v>
      </c>
      <c r="D76" s="12">
        <v>6</v>
      </c>
      <c r="E76" s="17">
        <v>433</v>
      </c>
      <c r="F76" s="12">
        <v>2598</v>
      </c>
      <c r="G76" s="12" t="s">
        <v>27</v>
      </c>
    </row>
    <row r="77" spans="1:7" x14ac:dyDescent="0.3">
      <c r="A77" s="12" t="s">
        <v>289</v>
      </c>
      <c r="B77" s="12" t="s">
        <v>1064</v>
      </c>
      <c r="C77" s="12" t="s">
        <v>10</v>
      </c>
      <c r="D77" s="12">
        <v>6</v>
      </c>
      <c r="E77" s="17">
        <v>719</v>
      </c>
      <c r="F77" s="12">
        <v>4314</v>
      </c>
      <c r="G77" s="12" t="s">
        <v>19</v>
      </c>
    </row>
    <row r="78" spans="1:7" x14ac:dyDescent="0.3">
      <c r="A78" s="12" t="s">
        <v>793</v>
      </c>
      <c r="B78" s="12" t="s">
        <v>1192</v>
      </c>
      <c r="C78" s="12" t="s">
        <v>10</v>
      </c>
      <c r="D78" s="12">
        <v>5</v>
      </c>
      <c r="E78" s="17">
        <v>767</v>
      </c>
      <c r="F78" s="12">
        <v>3835</v>
      </c>
      <c r="G78" s="12" t="s">
        <v>19</v>
      </c>
    </row>
    <row r="79" spans="1:7" x14ac:dyDescent="0.3">
      <c r="A79" s="12" t="s">
        <v>118</v>
      </c>
      <c r="B79" s="12" t="s">
        <v>120</v>
      </c>
      <c r="C79" s="12" t="s">
        <v>79</v>
      </c>
      <c r="D79" s="12">
        <v>1</v>
      </c>
      <c r="E79" s="17">
        <v>704</v>
      </c>
      <c r="F79" s="12">
        <v>704</v>
      </c>
      <c r="G79" s="12" t="s">
        <v>7</v>
      </c>
    </row>
    <row r="80" spans="1:7" x14ac:dyDescent="0.3">
      <c r="A80" s="12" t="s">
        <v>118</v>
      </c>
      <c r="B80" s="12" t="s">
        <v>1334</v>
      </c>
      <c r="C80" s="12" t="s">
        <v>38</v>
      </c>
      <c r="D80" s="12">
        <v>6</v>
      </c>
      <c r="E80" s="17">
        <v>487</v>
      </c>
      <c r="F80" s="12">
        <v>2922</v>
      </c>
      <c r="G80" s="12" t="s">
        <v>19</v>
      </c>
    </row>
    <row r="81" spans="1:7" x14ac:dyDescent="0.3">
      <c r="A81" s="12" t="s">
        <v>446</v>
      </c>
      <c r="B81" s="12" t="s">
        <v>447</v>
      </c>
      <c r="C81" s="12" t="s">
        <v>65</v>
      </c>
      <c r="D81" s="12">
        <v>1</v>
      </c>
      <c r="E81" s="17">
        <v>627</v>
      </c>
      <c r="F81" s="12">
        <v>627</v>
      </c>
      <c r="G81" s="12" t="s">
        <v>15</v>
      </c>
    </row>
    <row r="82" spans="1:7" x14ac:dyDescent="0.3">
      <c r="A82" s="12" t="s">
        <v>509</v>
      </c>
      <c r="B82" s="12" t="s">
        <v>1267</v>
      </c>
      <c r="C82" s="12" t="s">
        <v>65</v>
      </c>
      <c r="D82" s="12">
        <v>1</v>
      </c>
      <c r="E82" s="17">
        <v>878</v>
      </c>
      <c r="F82" s="12">
        <v>878</v>
      </c>
      <c r="G82" s="12" t="s">
        <v>33</v>
      </c>
    </row>
    <row r="83" spans="1:7" x14ac:dyDescent="0.3">
      <c r="A83" s="12" t="s">
        <v>509</v>
      </c>
      <c r="B83" s="12" t="s">
        <v>889</v>
      </c>
      <c r="C83" s="12" t="s">
        <v>30</v>
      </c>
      <c r="D83" s="12">
        <v>5</v>
      </c>
      <c r="E83" s="17">
        <v>327</v>
      </c>
      <c r="F83" s="12">
        <v>1635</v>
      </c>
      <c r="G83" s="12" t="s">
        <v>19</v>
      </c>
    </row>
    <row r="84" spans="1:7" x14ac:dyDescent="0.3">
      <c r="A84" s="12" t="s">
        <v>108</v>
      </c>
      <c r="B84" s="12" t="s">
        <v>1033</v>
      </c>
      <c r="C84" s="12" t="s">
        <v>68</v>
      </c>
      <c r="D84" s="12">
        <v>4</v>
      </c>
      <c r="E84" s="17">
        <v>465</v>
      </c>
      <c r="F84" s="12">
        <v>1860</v>
      </c>
      <c r="G84" s="12" t="s">
        <v>19</v>
      </c>
    </row>
    <row r="85" spans="1:7" x14ac:dyDescent="0.3">
      <c r="A85" s="12" t="s">
        <v>179</v>
      </c>
      <c r="B85" s="12" t="s">
        <v>897</v>
      </c>
      <c r="C85" s="12" t="s">
        <v>65</v>
      </c>
      <c r="D85" s="12">
        <v>2</v>
      </c>
      <c r="E85" s="17">
        <v>808</v>
      </c>
      <c r="F85" s="12">
        <v>1616</v>
      </c>
      <c r="G85" s="12" t="s">
        <v>33</v>
      </c>
    </row>
    <row r="86" spans="1:7" x14ac:dyDescent="0.3">
      <c r="A86" s="12" t="s">
        <v>179</v>
      </c>
      <c r="B86" s="12" t="s">
        <v>1132</v>
      </c>
      <c r="C86" s="12" t="s">
        <v>79</v>
      </c>
      <c r="D86" s="12">
        <v>6</v>
      </c>
      <c r="E86" s="17">
        <v>989</v>
      </c>
      <c r="F86" s="12">
        <v>5934</v>
      </c>
      <c r="G86" s="12" t="s">
        <v>33</v>
      </c>
    </row>
    <row r="87" spans="1:7" x14ac:dyDescent="0.3">
      <c r="A87" s="12" t="s">
        <v>959</v>
      </c>
      <c r="B87" s="12" t="s">
        <v>960</v>
      </c>
      <c r="C87" s="12" t="s">
        <v>68</v>
      </c>
      <c r="D87" s="12">
        <v>4</v>
      </c>
      <c r="E87" s="17">
        <v>229</v>
      </c>
      <c r="F87" s="12">
        <v>916</v>
      </c>
      <c r="G87" s="12" t="s">
        <v>19</v>
      </c>
    </row>
    <row r="88" spans="1:7" x14ac:dyDescent="0.3">
      <c r="A88" s="12" t="s">
        <v>644</v>
      </c>
      <c r="B88" s="12" t="s">
        <v>865</v>
      </c>
      <c r="C88" s="12" t="s">
        <v>18</v>
      </c>
      <c r="D88" s="12">
        <v>1</v>
      </c>
      <c r="E88" s="17">
        <v>454</v>
      </c>
      <c r="F88" s="12">
        <v>454</v>
      </c>
      <c r="G88" s="12" t="s">
        <v>19</v>
      </c>
    </row>
    <row r="89" spans="1:7" x14ac:dyDescent="0.3">
      <c r="A89" s="12" t="s">
        <v>644</v>
      </c>
      <c r="B89" s="12" t="s">
        <v>1306</v>
      </c>
      <c r="C89" s="12" t="s">
        <v>30</v>
      </c>
      <c r="D89" s="12">
        <v>4</v>
      </c>
      <c r="E89" s="17">
        <v>376</v>
      </c>
      <c r="F89" s="12">
        <v>1504</v>
      </c>
      <c r="G89" s="12" t="s">
        <v>7</v>
      </c>
    </row>
    <row r="90" spans="1:7" x14ac:dyDescent="0.3">
      <c r="A90" s="12" t="s">
        <v>407</v>
      </c>
      <c r="B90" s="12" t="s">
        <v>408</v>
      </c>
      <c r="C90" s="12" t="s">
        <v>6</v>
      </c>
      <c r="D90" s="12">
        <v>6</v>
      </c>
      <c r="E90" s="17">
        <v>130</v>
      </c>
      <c r="F90" s="12">
        <v>780</v>
      </c>
      <c r="G90" s="12" t="s">
        <v>33</v>
      </c>
    </row>
    <row r="91" spans="1:7" x14ac:dyDescent="0.3">
      <c r="A91" s="12" t="s">
        <v>407</v>
      </c>
      <c r="B91" s="12" t="s">
        <v>1185</v>
      </c>
      <c r="C91" s="12" t="s">
        <v>10</v>
      </c>
      <c r="D91" s="12">
        <v>4</v>
      </c>
      <c r="E91" s="17">
        <v>273</v>
      </c>
      <c r="F91" s="12">
        <v>1092</v>
      </c>
      <c r="G91" s="12" t="s">
        <v>11</v>
      </c>
    </row>
    <row r="92" spans="1:7" x14ac:dyDescent="0.3">
      <c r="A92" s="12" t="s">
        <v>407</v>
      </c>
      <c r="B92" s="12" t="s">
        <v>677</v>
      </c>
      <c r="C92" s="12" t="s">
        <v>38</v>
      </c>
      <c r="D92" s="12">
        <v>2</v>
      </c>
      <c r="E92" s="17">
        <v>873</v>
      </c>
      <c r="F92" s="12">
        <v>1746</v>
      </c>
      <c r="G92" s="12" t="s">
        <v>7</v>
      </c>
    </row>
    <row r="93" spans="1:7" x14ac:dyDescent="0.3">
      <c r="A93" s="12" t="s">
        <v>407</v>
      </c>
      <c r="B93" s="12" t="s">
        <v>678</v>
      </c>
      <c r="C93" s="12" t="s">
        <v>79</v>
      </c>
      <c r="D93" s="12">
        <v>6</v>
      </c>
      <c r="E93" s="17">
        <v>535</v>
      </c>
      <c r="F93" s="12">
        <v>3210</v>
      </c>
      <c r="G93" s="12" t="s">
        <v>15</v>
      </c>
    </row>
    <row r="94" spans="1:7" x14ac:dyDescent="0.3">
      <c r="A94" s="12" t="s">
        <v>20</v>
      </c>
      <c r="B94" s="12" t="s">
        <v>709</v>
      </c>
      <c r="C94" s="12" t="s">
        <v>68</v>
      </c>
      <c r="D94" s="12">
        <v>3</v>
      </c>
      <c r="E94" s="17">
        <v>356</v>
      </c>
      <c r="F94" s="12">
        <v>1068</v>
      </c>
      <c r="G94" s="12" t="s">
        <v>11</v>
      </c>
    </row>
    <row r="95" spans="1:7" x14ac:dyDescent="0.3">
      <c r="A95" s="12" t="s">
        <v>20</v>
      </c>
      <c r="B95" s="12" t="s">
        <v>21</v>
      </c>
      <c r="C95" s="12" t="s">
        <v>18</v>
      </c>
      <c r="D95" s="12">
        <v>5</v>
      </c>
      <c r="E95" s="17">
        <v>500</v>
      </c>
      <c r="F95" s="12">
        <v>2500</v>
      </c>
      <c r="G95" s="12" t="s">
        <v>19</v>
      </c>
    </row>
    <row r="96" spans="1:7" x14ac:dyDescent="0.3">
      <c r="A96" s="12" t="s">
        <v>102</v>
      </c>
      <c r="B96" s="12" t="s">
        <v>103</v>
      </c>
      <c r="C96" s="12" t="s">
        <v>10</v>
      </c>
      <c r="D96" s="12">
        <v>1</v>
      </c>
      <c r="E96" s="17">
        <v>507</v>
      </c>
      <c r="F96" s="12">
        <v>507</v>
      </c>
      <c r="G96" s="12" t="s">
        <v>33</v>
      </c>
    </row>
    <row r="97" spans="1:7" x14ac:dyDescent="0.3">
      <c r="A97" s="12" t="s">
        <v>102</v>
      </c>
      <c r="B97" s="12" t="s">
        <v>784</v>
      </c>
      <c r="C97" s="12" t="s">
        <v>18</v>
      </c>
      <c r="D97" s="12">
        <v>2</v>
      </c>
      <c r="E97" s="17">
        <v>843</v>
      </c>
      <c r="F97" s="12">
        <v>1686</v>
      </c>
      <c r="G97" s="12" t="s">
        <v>15</v>
      </c>
    </row>
    <row r="98" spans="1:7" x14ac:dyDescent="0.3">
      <c r="A98" s="12" t="s">
        <v>102</v>
      </c>
      <c r="B98" s="12" t="s">
        <v>612</v>
      </c>
      <c r="C98" s="12" t="s">
        <v>6</v>
      </c>
      <c r="D98" s="12">
        <v>4</v>
      </c>
      <c r="E98" s="17">
        <v>794</v>
      </c>
      <c r="F98" s="12">
        <v>3176</v>
      </c>
      <c r="G98" s="12" t="s">
        <v>27</v>
      </c>
    </row>
    <row r="99" spans="1:7" x14ac:dyDescent="0.3">
      <c r="A99" s="12" t="s">
        <v>63</v>
      </c>
      <c r="B99" s="12" t="s">
        <v>770</v>
      </c>
      <c r="C99" s="12" t="s">
        <v>30</v>
      </c>
      <c r="D99" s="12">
        <v>6</v>
      </c>
      <c r="E99" s="17">
        <v>245</v>
      </c>
      <c r="F99" s="12">
        <v>1470</v>
      </c>
      <c r="G99" s="12" t="s">
        <v>19</v>
      </c>
    </row>
    <row r="100" spans="1:7" x14ac:dyDescent="0.3">
      <c r="A100" s="12" t="s">
        <v>63</v>
      </c>
      <c r="B100" s="12" t="s">
        <v>64</v>
      </c>
      <c r="C100" s="12" t="s">
        <v>65</v>
      </c>
      <c r="D100" s="12">
        <v>4</v>
      </c>
      <c r="E100" s="17">
        <v>892</v>
      </c>
      <c r="F100" s="12">
        <v>3568</v>
      </c>
      <c r="G100" s="12" t="s">
        <v>7</v>
      </c>
    </row>
    <row r="101" spans="1:7" x14ac:dyDescent="0.3">
      <c r="A101" s="12" t="s">
        <v>771</v>
      </c>
      <c r="B101" s="12" t="s">
        <v>772</v>
      </c>
      <c r="C101" s="12" t="s">
        <v>30</v>
      </c>
      <c r="D101" s="12">
        <v>6</v>
      </c>
      <c r="E101" s="17">
        <v>69</v>
      </c>
      <c r="F101" s="12">
        <v>414</v>
      </c>
      <c r="G101" s="12" t="s">
        <v>15</v>
      </c>
    </row>
    <row r="102" spans="1:7" x14ac:dyDescent="0.3">
      <c r="A102" s="12" t="s">
        <v>623</v>
      </c>
      <c r="B102" s="12" t="s">
        <v>624</v>
      </c>
      <c r="C102" s="12" t="s">
        <v>24</v>
      </c>
      <c r="D102" s="12">
        <v>6</v>
      </c>
      <c r="E102" s="17">
        <v>249</v>
      </c>
      <c r="F102" s="12">
        <v>1494</v>
      </c>
      <c r="G102" s="12" t="s">
        <v>11</v>
      </c>
    </row>
    <row r="103" spans="1:7" x14ac:dyDescent="0.3">
      <c r="A103" s="12" t="s">
        <v>623</v>
      </c>
      <c r="B103" s="12" t="s">
        <v>1271</v>
      </c>
      <c r="C103" s="12" t="s">
        <v>10</v>
      </c>
      <c r="D103" s="12">
        <v>5</v>
      </c>
      <c r="E103" s="17">
        <v>834</v>
      </c>
      <c r="F103" s="12">
        <v>4170</v>
      </c>
      <c r="G103" s="12" t="s">
        <v>7</v>
      </c>
    </row>
    <row r="104" spans="1:7" x14ac:dyDescent="0.3">
      <c r="A104" s="12" t="s">
        <v>271</v>
      </c>
      <c r="B104" s="12" t="s">
        <v>473</v>
      </c>
      <c r="C104" s="12" t="s">
        <v>18</v>
      </c>
      <c r="D104" s="12">
        <v>2</v>
      </c>
      <c r="E104" s="17">
        <v>466</v>
      </c>
      <c r="F104" s="12">
        <v>932</v>
      </c>
      <c r="G104" s="12" t="s">
        <v>11</v>
      </c>
    </row>
    <row r="105" spans="1:7" x14ac:dyDescent="0.3">
      <c r="A105" s="12" t="s">
        <v>83</v>
      </c>
      <c r="B105" s="12" t="s">
        <v>1287</v>
      </c>
      <c r="C105" s="12" t="s">
        <v>30</v>
      </c>
      <c r="D105" s="12">
        <v>3</v>
      </c>
      <c r="E105" s="17">
        <v>99</v>
      </c>
      <c r="F105" s="12">
        <v>297</v>
      </c>
      <c r="G105" s="12" t="s">
        <v>11</v>
      </c>
    </row>
    <row r="106" spans="1:7" x14ac:dyDescent="0.3">
      <c r="A106" s="12" t="s">
        <v>83</v>
      </c>
      <c r="B106" s="12" t="s">
        <v>1223</v>
      </c>
      <c r="C106" s="12" t="s">
        <v>38</v>
      </c>
      <c r="D106" s="12">
        <v>2</v>
      </c>
      <c r="E106" s="17">
        <v>749</v>
      </c>
      <c r="F106" s="12">
        <v>1498</v>
      </c>
      <c r="G106" s="12" t="s">
        <v>33</v>
      </c>
    </row>
    <row r="107" spans="1:7" x14ac:dyDescent="0.3">
      <c r="A107" s="12" t="s">
        <v>83</v>
      </c>
      <c r="B107" s="12" t="s">
        <v>971</v>
      </c>
      <c r="C107" s="12" t="s">
        <v>14</v>
      </c>
      <c r="D107" s="12">
        <v>5</v>
      </c>
      <c r="E107" s="17">
        <v>557</v>
      </c>
      <c r="F107" s="12">
        <v>2785</v>
      </c>
      <c r="G107" s="12" t="s">
        <v>33</v>
      </c>
    </row>
    <row r="108" spans="1:7" x14ac:dyDescent="0.3">
      <c r="A108" s="12" t="s">
        <v>371</v>
      </c>
      <c r="B108" s="12" t="s">
        <v>393</v>
      </c>
      <c r="C108" s="12" t="s">
        <v>38</v>
      </c>
      <c r="D108" s="12">
        <v>1</v>
      </c>
      <c r="E108" s="17">
        <v>218</v>
      </c>
      <c r="F108" s="12">
        <v>218</v>
      </c>
      <c r="G108" s="12" t="s">
        <v>33</v>
      </c>
    </row>
    <row r="109" spans="1:7" x14ac:dyDescent="0.3">
      <c r="A109" s="12" t="s">
        <v>371</v>
      </c>
      <c r="B109" s="12" t="s">
        <v>372</v>
      </c>
      <c r="C109" s="12" t="s">
        <v>10</v>
      </c>
      <c r="D109" s="12">
        <v>3</v>
      </c>
      <c r="E109" s="17">
        <v>898</v>
      </c>
      <c r="F109" s="12">
        <v>2694</v>
      </c>
      <c r="G109" s="12" t="s">
        <v>27</v>
      </c>
    </row>
    <row r="110" spans="1:7" x14ac:dyDescent="0.3">
      <c r="A110" s="12" t="s">
        <v>371</v>
      </c>
      <c r="B110" s="12" t="s">
        <v>1307</v>
      </c>
      <c r="C110" s="12" t="s">
        <v>38</v>
      </c>
      <c r="D110" s="12">
        <v>6</v>
      </c>
      <c r="E110" s="17">
        <v>641</v>
      </c>
      <c r="F110" s="12">
        <v>3846</v>
      </c>
      <c r="G110" s="12" t="s">
        <v>11</v>
      </c>
    </row>
    <row r="111" spans="1:7" x14ac:dyDescent="0.3">
      <c r="A111" s="12" t="s">
        <v>371</v>
      </c>
      <c r="B111" s="12" t="s">
        <v>1082</v>
      </c>
      <c r="C111" s="12" t="s">
        <v>30</v>
      </c>
      <c r="D111" s="12">
        <v>6</v>
      </c>
      <c r="E111" s="17">
        <v>966</v>
      </c>
      <c r="F111" s="12">
        <v>5796</v>
      </c>
      <c r="G111" s="12" t="s">
        <v>7</v>
      </c>
    </row>
    <row r="112" spans="1:7" x14ac:dyDescent="0.3">
      <c r="A112" s="12" t="s">
        <v>533</v>
      </c>
      <c r="B112" s="12" t="s">
        <v>810</v>
      </c>
      <c r="C112" s="12" t="s">
        <v>18</v>
      </c>
      <c r="D112" s="12">
        <v>5</v>
      </c>
      <c r="E112" s="17">
        <v>227</v>
      </c>
      <c r="F112" s="12">
        <v>1135</v>
      </c>
      <c r="G112" s="12" t="s">
        <v>7</v>
      </c>
    </row>
    <row r="113" spans="1:7" x14ac:dyDescent="0.3">
      <c r="A113" s="12" t="s">
        <v>686</v>
      </c>
      <c r="B113" s="12" t="s">
        <v>833</v>
      </c>
      <c r="C113" s="12" t="s">
        <v>30</v>
      </c>
      <c r="D113" s="12">
        <v>1</v>
      </c>
      <c r="E113" s="17">
        <v>246</v>
      </c>
      <c r="F113" s="12">
        <v>246</v>
      </c>
      <c r="G113" s="12" t="s">
        <v>11</v>
      </c>
    </row>
    <row r="114" spans="1:7" x14ac:dyDescent="0.3">
      <c r="A114" s="12" t="s">
        <v>686</v>
      </c>
      <c r="B114" s="12" t="s">
        <v>687</v>
      </c>
      <c r="C114" s="12" t="s">
        <v>38</v>
      </c>
      <c r="D114" s="12">
        <v>4</v>
      </c>
      <c r="E114" s="17">
        <v>577</v>
      </c>
      <c r="F114" s="12">
        <v>2308</v>
      </c>
      <c r="G114" s="12" t="s">
        <v>33</v>
      </c>
    </row>
    <row r="115" spans="1:7" x14ac:dyDescent="0.3">
      <c r="A115" s="12" t="s">
        <v>333</v>
      </c>
      <c r="B115" s="12" t="s">
        <v>541</v>
      </c>
      <c r="C115" s="12" t="s">
        <v>30</v>
      </c>
      <c r="D115" s="12">
        <v>2</v>
      </c>
      <c r="E115" s="17">
        <v>443</v>
      </c>
      <c r="F115" s="12">
        <v>886</v>
      </c>
      <c r="G115" s="12" t="s">
        <v>11</v>
      </c>
    </row>
    <row r="116" spans="1:7" x14ac:dyDescent="0.3">
      <c r="A116" s="12" t="s">
        <v>902</v>
      </c>
      <c r="B116" s="12" t="s">
        <v>903</v>
      </c>
      <c r="C116" s="12" t="s">
        <v>38</v>
      </c>
      <c r="D116" s="12">
        <v>5</v>
      </c>
      <c r="E116" s="17">
        <v>101</v>
      </c>
      <c r="F116" s="12">
        <v>505</v>
      </c>
      <c r="G116" s="12" t="s">
        <v>7</v>
      </c>
    </row>
    <row r="117" spans="1:7" x14ac:dyDescent="0.3">
      <c r="A117" s="12" t="s">
        <v>277</v>
      </c>
      <c r="B117" s="12" t="s">
        <v>989</v>
      </c>
      <c r="C117" s="12" t="s">
        <v>6</v>
      </c>
      <c r="D117" s="12">
        <v>4</v>
      </c>
      <c r="E117" s="17">
        <v>515</v>
      </c>
      <c r="F117" s="12">
        <v>2060</v>
      </c>
      <c r="G117" s="12" t="s">
        <v>11</v>
      </c>
    </row>
    <row r="118" spans="1:7" x14ac:dyDescent="0.3">
      <c r="A118" s="12" t="s">
        <v>317</v>
      </c>
      <c r="B118" s="12" t="s">
        <v>1094</v>
      </c>
      <c r="C118" s="12" t="s">
        <v>30</v>
      </c>
      <c r="D118" s="12">
        <v>3</v>
      </c>
      <c r="E118" s="17">
        <v>276</v>
      </c>
      <c r="F118" s="12">
        <v>828</v>
      </c>
      <c r="G118" s="12" t="s">
        <v>33</v>
      </c>
    </row>
    <row r="119" spans="1:7" x14ac:dyDescent="0.3">
      <c r="A119" s="12" t="s">
        <v>317</v>
      </c>
      <c r="B119" s="12" t="s">
        <v>1093</v>
      </c>
      <c r="C119" s="12" t="s">
        <v>6</v>
      </c>
      <c r="D119" s="12">
        <v>3</v>
      </c>
      <c r="E119" s="17">
        <v>679</v>
      </c>
      <c r="F119" s="12">
        <v>2037</v>
      </c>
      <c r="G119" s="12" t="s">
        <v>19</v>
      </c>
    </row>
    <row r="120" spans="1:7" x14ac:dyDescent="0.3">
      <c r="A120" s="12" t="s">
        <v>317</v>
      </c>
      <c r="B120" s="12" t="s">
        <v>1285</v>
      </c>
      <c r="C120" s="12" t="s">
        <v>10</v>
      </c>
      <c r="D120" s="12">
        <v>6</v>
      </c>
      <c r="E120" s="17">
        <v>770</v>
      </c>
      <c r="F120" s="12">
        <v>4620</v>
      </c>
      <c r="G120" s="12" t="s">
        <v>11</v>
      </c>
    </row>
    <row r="121" spans="1:7" x14ac:dyDescent="0.3">
      <c r="A121" s="12" t="s">
        <v>123</v>
      </c>
      <c r="B121" s="12" t="s">
        <v>273</v>
      </c>
      <c r="C121" s="12" t="s">
        <v>14</v>
      </c>
      <c r="D121" s="12">
        <v>4</v>
      </c>
      <c r="E121" s="17">
        <v>116</v>
      </c>
      <c r="F121" s="12">
        <v>464</v>
      </c>
      <c r="G121" s="12" t="s">
        <v>15</v>
      </c>
    </row>
    <row r="122" spans="1:7" x14ac:dyDescent="0.3">
      <c r="A122" s="12" t="s">
        <v>293</v>
      </c>
      <c r="B122" s="12" t="s">
        <v>294</v>
      </c>
      <c r="C122" s="12" t="s">
        <v>10</v>
      </c>
      <c r="D122" s="12">
        <v>4</v>
      </c>
      <c r="E122" s="17">
        <v>228</v>
      </c>
      <c r="F122" s="12">
        <v>912</v>
      </c>
      <c r="G122" s="12" t="s">
        <v>27</v>
      </c>
    </row>
    <row r="123" spans="1:7" x14ac:dyDescent="0.3">
      <c r="A123" s="12" t="s">
        <v>293</v>
      </c>
      <c r="B123" s="12" t="s">
        <v>1315</v>
      </c>
      <c r="C123" s="12" t="s">
        <v>14</v>
      </c>
      <c r="D123" s="12">
        <v>2</v>
      </c>
      <c r="E123" s="17">
        <v>947</v>
      </c>
      <c r="F123" s="12">
        <v>1894</v>
      </c>
      <c r="G123" s="12" t="s">
        <v>33</v>
      </c>
    </row>
    <row r="124" spans="1:7" x14ac:dyDescent="0.3">
      <c r="A124" s="12" t="s">
        <v>138</v>
      </c>
      <c r="B124" s="12" t="s">
        <v>918</v>
      </c>
      <c r="C124" s="12" t="s">
        <v>38</v>
      </c>
      <c r="D124" s="12">
        <v>1</v>
      </c>
      <c r="E124" s="17">
        <v>533</v>
      </c>
      <c r="F124" s="12">
        <v>533</v>
      </c>
      <c r="G124" s="12" t="s">
        <v>15</v>
      </c>
    </row>
    <row r="125" spans="1:7" x14ac:dyDescent="0.3">
      <c r="A125" s="12" t="s">
        <v>138</v>
      </c>
      <c r="B125" s="12" t="s">
        <v>1184</v>
      </c>
      <c r="C125" s="12" t="s">
        <v>6</v>
      </c>
      <c r="D125" s="12">
        <v>2</v>
      </c>
      <c r="E125" s="17">
        <v>813</v>
      </c>
      <c r="F125" s="12">
        <v>1626</v>
      </c>
      <c r="G125" s="12" t="s">
        <v>7</v>
      </c>
    </row>
    <row r="126" spans="1:7" x14ac:dyDescent="0.3">
      <c r="A126" s="12" t="s">
        <v>138</v>
      </c>
      <c r="B126" s="12" t="s">
        <v>139</v>
      </c>
      <c r="C126" s="12" t="s">
        <v>38</v>
      </c>
      <c r="D126" s="12">
        <v>6</v>
      </c>
      <c r="E126" s="17">
        <v>817</v>
      </c>
      <c r="F126" s="12">
        <v>4902</v>
      </c>
      <c r="G126" s="12" t="s">
        <v>33</v>
      </c>
    </row>
    <row r="127" spans="1:7" x14ac:dyDescent="0.3">
      <c r="A127" s="12" t="s">
        <v>1005</v>
      </c>
      <c r="B127" s="12" t="s">
        <v>1006</v>
      </c>
      <c r="C127" s="12" t="s">
        <v>6</v>
      </c>
      <c r="D127" s="12">
        <v>5</v>
      </c>
      <c r="E127" s="17">
        <v>878</v>
      </c>
      <c r="F127" s="12">
        <v>4390</v>
      </c>
      <c r="G127" s="12" t="s">
        <v>19</v>
      </c>
    </row>
    <row r="128" spans="1:7" x14ac:dyDescent="0.3">
      <c r="A128" s="12" t="s">
        <v>87</v>
      </c>
      <c r="B128" s="12" t="s">
        <v>88</v>
      </c>
      <c r="C128" s="12" t="s">
        <v>6</v>
      </c>
      <c r="D128" s="12">
        <v>4</v>
      </c>
      <c r="E128" s="17">
        <v>506</v>
      </c>
      <c r="F128" s="12">
        <v>2024</v>
      </c>
      <c r="G128" s="12" t="s">
        <v>11</v>
      </c>
    </row>
    <row r="129" spans="1:7" x14ac:dyDescent="0.3">
      <c r="A129" s="12" t="s">
        <v>210</v>
      </c>
      <c r="B129" s="12" t="s">
        <v>211</v>
      </c>
      <c r="C129" s="12" t="s">
        <v>14</v>
      </c>
      <c r="D129" s="12">
        <v>2</v>
      </c>
      <c r="E129" s="17">
        <v>803</v>
      </c>
      <c r="F129" s="12">
        <v>1606</v>
      </c>
      <c r="G129" s="12" t="s">
        <v>19</v>
      </c>
    </row>
    <row r="130" spans="1:7" x14ac:dyDescent="0.3">
      <c r="A130" s="12" t="s">
        <v>341</v>
      </c>
      <c r="B130" s="12" t="s">
        <v>342</v>
      </c>
      <c r="C130" s="12" t="s">
        <v>14</v>
      </c>
      <c r="D130" s="12">
        <v>3</v>
      </c>
      <c r="E130" s="17">
        <v>540</v>
      </c>
      <c r="F130" s="12">
        <v>1620</v>
      </c>
      <c r="G130" s="12" t="s">
        <v>33</v>
      </c>
    </row>
    <row r="131" spans="1:7" x14ac:dyDescent="0.3">
      <c r="A131" s="12" t="s">
        <v>144</v>
      </c>
      <c r="B131" s="12" t="s">
        <v>145</v>
      </c>
      <c r="C131" s="12" t="s">
        <v>79</v>
      </c>
      <c r="D131" s="12">
        <v>3</v>
      </c>
      <c r="E131" s="17">
        <v>81</v>
      </c>
      <c r="F131" s="12">
        <v>243</v>
      </c>
      <c r="G131" s="12" t="s">
        <v>7</v>
      </c>
    </row>
    <row r="132" spans="1:7" x14ac:dyDescent="0.3">
      <c r="A132" s="12" t="s">
        <v>144</v>
      </c>
      <c r="B132" s="12" t="s">
        <v>1125</v>
      </c>
      <c r="C132" s="12" t="s">
        <v>6</v>
      </c>
      <c r="D132" s="12">
        <v>5</v>
      </c>
      <c r="E132" s="17">
        <v>133</v>
      </c>
      <c r="F132" s="12">
        <v>665</v>
      </c>
      <c r="G132" s="12" t="s">
        <v>19</v>
      </c>
    </row>
    <row r="133" spans="1:7" x14ac:dyDescent="0.3">
      <c r="A133" s="12" t="s">
        <v>144</v>
      </c>
      <c r="B133" s="12" t="s">
        <v>1015</v>
      </c>
      <c r="C133" s="12" t="s">
        <v>14</v>
      </c>
      <c r="D133" s="12">
        <v>5</v>
      </c>
      <c r="E133" s="17">
        <v>785</v>
      </c>
      <c r="F133" s="12">
        <v>3925</v>
      </c>
      <c r="G133" s="12" t="s">
        <v>7</v>
      </c>
    </row>
    <row r="134" spans="1:7" x14ac:dyDescent="0.3">
      <c r="A134" s="12" t="s">
        <v>230</v>
      </c>
      <c r="B134" s="12" t="s">
        <v>491</v>
      </c>
      <c r="C134" s="12" t="s">
        <v>24</v>
      </c>
      <c r="D134" s="12">
        <v>3</v>
      </c>
      <c r="E134" s="17">
        <v>124</v>
      </c>
      <c r="F134" s="12">
        <v>372</v>
      </c>
      <c r="G134" s="12" t="s">
        <v>19</v>
      </c>
    </row>
    <row r="135" spans="1:7" x14ac:dyDescent="0.3">
      <c r="A135" s="12" t="s">
        <v>230</v>
      </c>
      <c r="B135" s="12" t="s">
        <v>1027</v>
      </c>
      <c r="C135" s="12" t="s">
        <v>6</v>
      </c>
      <c r="D135" s="12">
        <v>5</v>
      </c>
      <c r="E135" s="17">
        <v>247</v>
      </c>
      <c r="F135" s="12">
        <v>1235</v>
      </c>
      <c r="G135" s="12" t="s">
        <v>27</v>
      </c>
    </row>
    <row r="136" spans="1:7" x14ac:dyDescent="0.3">
      <c r="A136" s="12" t="s">
        <v>230</v>
      </c>
      <c r="B136" s="12" t="s">
        <v>231</v>
      </c>
      <c r="C136" s="12" t="s">
        <v>10</v>
      </c>
      <c r="D136" s="12">
        <v>2</v>
      </c>
      <c r="E136" s="17">
        <v>770</v>
      </c>
      <c r="F136" s="12">
        <v>1540</v>
      </c>
      <c r="G136" s="12" t="s">
        <v>15</v>
      </c>
    </row>
    <row r="137" spans="1:7" x14ac:dyDescent="0.3">
      <c r="A137" s="12" t="s">
        <v>463</v>
      </c>
      <c r="B137" s="12" t="s">
        <v>530</v>
      </c>
      <c r="C137" s="12" t="s">
        <v>6</v>
      </c>
      <c r="D137" s="12">
        <v>5</v>
      </c>
      <c r="E137" s="17">
        <v>175</v>
      </c>
      <c r="F137" s="12">
        <v>875</v>
      </c>
      <c r="G137" s="12" t="s">
        <v>7</v>
      </c>
    </row>
    <row r="138" spans="1:7" x14ac:dyDescent="0.3">
      <c r="A138" s="12" t="s">
        <v>463</v>
      </c>
      <c r="B138" s="12" t="s">
        <v>734</v>
      </c>
      <c r="C138" s="12" t="s">
        <v>14</v>
      </c>
      <c r="D138" s="12">
        <v>5</v>
      </c>
      <c r="E138" s="17">
        <v>661</v>
      </c>
      <c r="F138" s="12">
        <v>3305</v>
      </c>
      <c r="G138" s="12" t="s">
        <v>19</v>
      </c>
    </row>
    <row r="139" spans="1:7" x14ac:dyDescent="0.3">
      <c r="A139" s="12" t="s">
        <v>717</v>
      </c>
      <c r="B139" s="12" t="s">
        <v>932</v>
      </c>
      <c r="C139" s="12" t="s">
        <v>38</v>
      </c>
      <c r="D139" s="12">
        <v>3</v>
      </c>
      <c r="E139" s="17">
        <v>537</v>
      </c>
      <c r="F139" s="12">
        <v>1611</v>
      </c>
      <c r="G139" s="12" t="s">
        <v>15</v>
      </c>
    </row>
    <row r="140" spans="1:7" x14ac:dyDescent="0.3">
      <c r="A140" s="12" t="s">
        <v>717</v>
      </c>
      <c r="B140" s="12" t="s">
        <v>1180</v>
      </c>
      <c r="C140" s="12" t="s">
        <v>18</v>
      </c>
      <c r="D140" s="12">
        <v>5</v>
      </c>
      <c r="E140" s="17">
        <v>455</v>
      </c>
      <c r="F140" s="12">
        <v>2275</v>
      </c>
      <c r="G140" s="12" t="s">
        <v>19</v>
      </c>
    </row>
    <row r="141" spans="1:7" x14ac:dyDescent="0.3">
      <c r="A141" s="12" t="s">
        <v>717</v>
      </c>
      <c r="B141" s="12" t="s">
        <v>1246</v>
      </c>
      <c r="C141" s="12" t="s">
        <v>10</v>
      </c>
      <c r="D141" s="12">
        <v>5</v>
      </c>
      <c r="E141" s="17">
        <v>739</v>
      </c>
      <c r="F141" s="12">
        <v>3695</v>
      </c>
      <c r="G141" s="12" t="s">
        <v>33</v>
      </c>
    </row>
    <row r="142" spans="1:7" x14ac:dyDescent="0.3">
      <c r="A142" s="12" t="s">
        <v>257</v>
      </c>
      <c r="B142" s="12" t="s">
        <v>1286</v>
      </c>
      <c r="C142" s="12" t="s">
        <v>18</v>
      </c>
      <c r="D142" s="12">
        <v>1</v>
      </c>
      <c r="E142" s="17">
        <v>943</v>
      </c>
      <c r="F142" s="12">
        <v>943</v>
      </c>
      <c r="G142" s="12" t="s">
        <v>11</v>
      </c>
    </row>
    <row r="143" spans="1:7" x14ac:dyDescent="0.3">
      <c r="A143" s="12" t="s">
        <v>257</v>
      </c>
      <c r="B143" s="12" t="s">
        <v>888</v>
      </c>
      <c r="C143" s="12" t="s">
        <v>30</v>
      </c>
      <c r="D143" s="12">
        <v>2</v>
      </c>
      <c r="E143" s="17">
        <v>601</v>
      </c>
      <c r="F143" s="12">
        <v>1202</v>
      </c>
      <c r="G143" s="12" t="s">
        <v>11</v>
      </c>
    </row>
    <row r="144" spans="1:7" x14ac:dyDescent="0.3">
      <c r="A144" s="12" t="s">
        <v>257</v>
      </c>
      <c r="B144" s="12" t="s">
        <v>1049</v>
      </c>
      <c r="C144" s="12" t="s">
        <v>10</v>
      </c>
      <c r="D144" s="12">
        <v>6</v>
      </c>
      <c r="E144" s="17">
        <v>442</v>
      </c>
      <c r="F144" s="12">
        <v>2652</v>
      </c>
      <c r="G144" s="12" t="s">
        <v>15</v>
      </c>
    </row>
    <row r="145" spans="1:7" x14ac:dyDescent="0.3">
      <c r="A145" s="12" t="s">
        <v>50</v>
      </c>
      <c r="B145" s="12" t="s">
        <v>9</v>
      </c>
      <c r="C145" s="12" t="s">
        <v>18</v>
      </c>
      <c r="D145" s="12">
        <v>3</v>
      </c>
      <c r="E145" s="17">
        <v>870</v>
      </c>
      <c r="F145" s="12">
        <v>2610</v>
      </c>
      <c r="G145" s="12" t="s">
        <v>19</v>
      </c>
    </row>
    <row r="146" spans="1:7" x14ac:dyDescent="0.3">
      <c r="A146" s="12" t="s">
        <v>601</v>
      </c>
      <c r="B146" s="12" t="s">
        <v>602</v>
      </c>
      <c r="C146" s="12" t="s">
        <v>24</v>
      </c>
      <c r="D146" s="12">
        <v>4</v>
      </c>
      <c r="E146" s="17">
        <v>58</v>
      </c>
      <c r="F146" s="12">
        <v>232</v>
      </c>
      <c r="G146" s="12" t="s">
        <v>33</v>
      </c>
    </row>
    <row r="147" spans="1:7" x14ac:dyDescent="0.3">
      <c r="A147" s="12" t="s">
        <v>177</v>
      </c>
      <c r="B147" s="12" t="s">
        <v>800</v>
      </c>
      <c r="C147" s="12" t="s">
        <v>38</v>
      </c>
      <c r="D147" s="12">
        <v>1</v>
      </c>
      <c r="E147" s="17">
        <v>262</v>
      </c>
      <c r="F147" s="12">
        <v>262</v>
      </c>
      <c r="G147" s="12" t="s">
        <v>11</v>
      </c>
    </row>
    <row r="148" spans="1:7" x14ac:dyDescent="0.3">
      <c r="A148" s="12" t="s">
        <v>177</v>
      </c>
      <c r="B148" s="12" t="s">
        <v>532</v>
      </c>
      <c r="C148" s="12" t="s">
        <v>65</v>
      </c>
      <c r="D148" s="12">
        <v>2</v>
      </c>
      <c r="E148" s="17">
        <v>510</v>
      </c>
      <c r="F148" s="12">
        <v>1020</v>
      </c>
      <c r="G148" s="12" t="s">
        <v>33</v>
      </c>
    </row>
    <row r="149" spans="1:7" x14ac:dyDescent="0.3">
      <c r="A149" s="12" t="s">
        <v>177</v>
      </c>
      <c r="B149" s="12" t="s">
        <v>858</v>
      </c>
      <c r="C149" s="12" t="s">
        <v>6</v>
      </c>
      <c r="D149" s="12">
        <v>5</v>
      </c>
      <c r="E149" s="17">
        <v>344</v>
      </c>
      <c r="F149" s="12">
        <v>1720</v>
      </c>
      <c r="G149" s="12" t="s">
        <v>27</v>
      </c>
    </row>
    <row r="150" spans="1:7" x14ac:dyDescent="0.3">
      <c r="A150" s="12" t="s">
        <v>724</v>
      </c>
      <c r="B150" s="12" t="s">
        <v>725</v>
      </c>
      <c r="C150" s="12" t="s">
        <v>6</v>
      </c>
      <c r="D150" s="12">
        <v>2</v>
      </c>
      <c r="E150" s="17">
        <v>865</v>
      </c>
      <c r="F150" s="12">
        <v>1730</v>
      </c>
      <c r="G150" s="12" t="s">
        <v>7</v>
      </c>
    </row>
    <row r="151" spans="1:7" x14ac:dyDescent="0.3">
      <c r="A151" s="12" t="s">
        <v>1017</v>
      </c>
      <c r="B151" s="12" t="s">
        <v>1018</v>
      </c>
      <c r="C151" s="12" t="s">
        <v>30</v>
      </c>
      <c r="D151" s="12">
        <v>2</v>
      </c>
      <c r="E151" s="17">
        <v>64</v>
      </c>
      <c r="F151" s="12">
        <v>128</v>
      </c>
      <c r="G151" s="12" t="s">
        <v>19</v>
      </c>
    </row>
    <row r="152" spans="1:7" x14ac:dyDescent="0.3">
      <c r="A152" s="12" t="s">
        <v>343</v>
      </c>
      <c r="B152" s="12" t="s">
        <v>380</v>
      </c>
      <c r="C152" s="12" t="s">
        <v>30</v>
      </c>
      <c r="D152" s="12">
        <v>1</v>
      </c>
      <c r="E152" s="17">
        <v>182</v>
      </c>
      <c r="F152" s="12">
        <v>182</v>
      </c>
      <c r="G152" s="12" t="s">
        <v>33</v>
      </c>
    </row>
    <row r="153" spans="1:7" x14ac:dyDescent="0.3">
      <c r="A153" s="12" t="s">
        <v>343</v>
      </c>
      <c r="B153" s="12" t="s">
        <v>381</v>
      </c>
      <c r="C153" s="12" t="s">
        <v>14</v>
      </c>
      <c r="D153" s="12">
        <v>4</v>
      </c>
      <c r="E153" s="17">
        <v>493</v>
      </c>
      <c r="F153" s="12">
        <v>1972</v>
      </c>
      <c r="G153" s="12" t="s">
        <v>7</v>
      </c>
    </row>
    <row r="154" spans="1:7" x14ac:dyDescent="0.3">
      <c r="A154" s="12" t="s">
        <v>343</v>
      </c>
      <c r="B154" s="12" t="s">
        <v>379</v>
      </c>
      <c r="C154" s="12" t="s">
        <v>30</v>
      </c>
      <c r="D154" s="12">
        <v>3</v>
      </c>
      <c r="E154" s="17">
        <v>836</v>
      </c>
      <c r="F154" s="12">
        <v>2508</v>
      </c>
      <c r="G154" s="12" t="s">
        <v>11</v>
      </c>
    </row>
    <row r="155" spans="1:7" x14ac:dyDescent="0.3">
      <c r="A155" s="12" t="s">
        <v>460</v>
      </c>
      <c r="B155" s="12" t="s">
        <v>461</v>
      </c>
      <c r="C155" s="12" t="s">
        <v>65</v>
      </c>
      <c r="D155" s="12">
        <v>3</v>
      </c>
      <c r="E155" s="17">
        <v>321</v>
      </c>
      <c r="F155" s="12">
        <v>963</v>
      </c>
      <c r="G155" s="12" t="s">
        <v>27</v>
      </c>
    </row>
    <row r="156" spans="1:7" x14ac:dyDescent="0.3">
      <c r="A156" s="12" t="s">
        <v>460</v>
      </c>
      <c r="B156" s="12" t="s">
        <v>643</v>
      </c>
      <c r="C156" s="12" t="s">
        <v>24</v>
      </c>
      <c r="D156" s="12">
        <v>6</v>
      </c>
      <c r="E156" s="17">
        <v>675</v>
      </c>
      <c r="F156" s="12">
        <v>4050</v>
      </c>
      <c r="G156" s="12" t="s">
        <v>27</v>
      </c>
    </row>
    <row r="157" spans="1:7" x14ac:dyDescent="0.3">
      <c r="A157" s="12" t="s">
        <v>741</v>
      </c>
      <c r="B157" s="12" t="s">
        <v>855</v>
      </c>
      <c r="C157" s="12" t="s">
        <v>14</v>
      </c>
      <c r="D157" s="12">
        <v>2</v>
      </c>
      <c r="E157" s="17">
        <v>864</v>
      </c>
      <c r="F157" s="12">
        <v>1728</v>
      </c>
      <c r="G157" s="12" t="s">
        <v>33</v>
      </c>
    </row>
    <row r="158" spans="1:7" x14ac:dyDescent="0.3">
      <c r="A158" s="12" t="s">
        <v>741</v>
      </c>
      <c r="B158" s="12" t="s">
        <v>742</v>
      </c>
      <c r="C158" s="12" t="s">
        <v>24</v>
      </c>
      <c r="D158" s="12">
        <v>6</v>
      </c>
      <c r="E158" s="17">
        <v>642</v>
      </c>
      <c r="F158" s="12">
        <v>3852</v>
      </c>
      <c r="G158" s="12" t="s">
        <v>33</v>
      </c>
    </row>
    <row r="159" spans="1:7" x14ac:dyDescent="0.3">
      <c r="A159" s="12" t="s">
        <v>652</v>
      </c>
      <c r="B159" s="12" t="s">
        <v>893</v>
      </c>
      <c r="C159" s="12" t="s">
        <v>18</v>
      </c>
      <c r="D159" s="12">
        <v>1</v>
      </c>
      <c r="E159" s="17">
        <v>190</v>
      </c>
      <c r="F159" s="12">
        <v>190</v>
      </c>
      <c r="G159" s="12" t="s">
        <v>19</v>
      </c>
    </row>
    <row r="160" spans="1:7" x14ac:dyDescent="0.3">
      <c r="A160" s="12" t="s">
        <v>652</v>
      </c>
      <c r="B160" s="12" t="s">
        <v>653</v>
      </c>
      <c r="C160" s="12" t="s">
        <v>38</v>
      </c>
      <c r="D160" s="12">
        <v>2</v>
      </c>
      <c r="E160" s="17">
        <v>863</v>
      </c>
      <c r="F160" s="12">
        <v>1726</v>
      </c>
      <c r="G160" s="12" t="s">
        <v>7</v>
      </c>
    </row>
    <row r="161" spans="1:7" x14ac:dyDescent="0.3">
      <c r="A161" s="12" t="s">
        <v>213</v>
      </c>
      <c r="B161" s="12" t="s">
        <v>214</v>
      </c>
      <c r="C161" s="12" t="s">
        <v>38</v>
      </c>
      <c r="D161" s="12">
        <v>2</v>
      </c>
      <c r="E161" s="17">
        <v>561</v>
      </c>
      <c r="F161" s="12">
        <v>1122</v>
      </c>
      <c r="G161" s="12" t="s">
        <v>33</v>
      </c>
    </row>
    <row r="162" spans="1:7" x14ac:dyDescent="0.3">
      <c r="A162" s="12" t="s">
        <v>245</v>
      </c>
      <c r="B162" s="12" t="s">
        <v>982</v>
      </c>
      <c r="C162" s="12" t="s">
        <v>18</v>
      </c>
      <c r="D162" s="12">
        <v>1</v>
      </c>
      <c r="E162" s="17">
        <v>355</v>
      </c>
      <c r="F162" s="12">
        <v>355</v>
      </c>
      <c r="G162" s="12" t="s">
        <v>15</v>
      </c>
    </row>
    <row r="163" spans="1:7" x14ac:dyDescent="0.3">
      <c r="A163" s="12" t="s">
        <v>245</v>
      </c>
      <c r="B163" s="12" t="s">
        <v>673</v>
      </c>
      <c r="C163" s="12" t="s">
        <v>14</v>
      </c>
      <c r="D163" s="12">
        <v>6</v>
      </c>
      <c r="E163" s="17">
        <v>190</v>
      </c>
      <c r="F163" s="12">
        <v>1140</v>
      </c>
      <c r="G163" s="12" t="s">
        <v>19</v>
      </c>
    </row>
    <row r="164" spans="1:7" x14ac:dyDescent="0.3">
      <c r="A164" s="12" t="s">
        <v>200</v>
      </c>
      <c r="B164" s="12" t="s">
        <v>201</v>
      </c>
      <c r="C164" s="12" t="s">
        <v>24</v>
      </c>
      <c r="D164" s="12">
        <v>2</v>
      </c>
      <c r="E164" s="17">
        <v>371</v>
      </c>
      <c r="F164" s="12">
        <v>742</v>
      </c>
      <c r="G164" s="12" t="s">
        <v>19</v>
      </c>
    </row>
    <row r="165" spans="1:7" x14ac:dyDescent="0.3">
      <c r="A165" s="12" t="s">
        <v>200</v>
      </c>
      <c r="B165" s="12" t="s">
        <v>337</v>
      </c>
      <c r="C165" s="12" t="s">
        <v>18</v>
      </c>
      <c r="D165" s="12">
        <v>6</v>
      </c>
      <c r="E165" s="17">
        <v>457</v>
      </c>
      <c r="F165" s="12">
        <v>2742</v>
      </c>
      <c r="G165" s="12" t="s">
        <v>11</v>
      </c>
    </row>
    <row r="166" spans="1:7" x14ac:dyDescent="0.3">
      <c r="A166" s="12" t="s">
        <v>69</v>
      </c>
      <c r="B166" s="12" t="s">
        <v>769</v>
      </c>
      <c r="C166" s="12" t="s">
        <v>30</v>
      </c>
      <c r="D166" s="12">
        <v>2</v>
      </c>
      <c r="E166" s="17">
        <v>162</v>
      </c>
      <c r="F166" s="12">
        <v>324</v>
      </c>
      <c r="G166" s="12" t="s">
        <v>27</v>
      </c>
    </row>
    <row r="167" spans="1:7" x14ac:dyDescent="0.3">
      <c r="A167" s="12" t="s">
        <v>69</v>
      </c>
      <c r="B167" s="12" t="s">
        <v>1154</v>
      </c>
      <c r="C167" s="12" t="s">
        <v>38</v>
      </c>
      <c r="D167" s="12">
        <v>4</v>
      </c>
      <c r="E167" s="17">
        <v>784</v>
      </c>
      <c r="F167" s="12">
        <v>3136</v>
      </c>
      <c r="G167" s="12" t="s">
        <v>11</v>
      </c>
    </row>
    <row r="168" spans="1:7" x14ac:dyDescent="0.3">
      <c r="A168" s="12" t="s">
        <v>238</v>
      </c>
      <c r="B168" s="12" t="s">
        <v>240</v>
      </c>
      <c r="C168" s="12" t="s">
        <v>6</v>
      </c>
      <c r="D168" s="12">
        <v>3</v>
      </c>
      <c r="E168" s="17">
        <v>988</v>
      </c>
      <c r="F168" s="12">
        <v>2964</v>
      </c>
      <c r="G168" s="12" t="s">
        <v>27</v>
      </c>
    </row>
    <row r="169" spans="1:7" x14ac:dyDescent="0.3">
      <c r="A169" s="12" t="s">
        <v>208</v>
      </c>
      <c r="B169" s="12" t="s">
        <v>967</v>
      </c>
      <c r="C169" s="12" t="s">
        <v>68</v>
      </c>
      <c r="D169" s="12">
        <v>3</v>
      </c>
      <c r="E169" s="17">
        <v>87</v>
      </c>
      <c r="F169" s="12">
        <v>261</v>
      </c>
      <c r="G169" s="12" t="s">
        <v>33</v>
      </c>
    </row>
    <row r="170" spans="1:7" x14ac:dyDescent="0.3">
      <c r="A170" s="12" t="s">
        <v>208</v>
      </c>
      <c r="B170" s="12" t="s">
        <v>422</v>
      </c>
      <c r="C170" s="12" t="s">
        <v>24</v>
      </c>
      <c r="D170" s="12">
        <v>1</v>
      </c>
      <c r="E170" s="17">
        <v>596</v>
      </c>
      <c r="F170" s="12">
        <v>596</v>
      </c>
      <c r="G170" s="12" t="s">
        <v>7</v>
      </c>
    </row>
    <row r="171" spans="1:7" x14ac:dyDescent="0.3">
      <c r="A171" s="12" t="s">
        <v>208</v>
      </c>
      <c r="B171" s="12" t="s">
        <v>966</v>
      </c>
      <c r="C171" s="12" t="s">
        <v>24</v>
      </c>
      <c r="D171" s="12">
        <v>3</v>
      </c>
      <c r="E171" s="17">
        <v>991</v>
      </c>
      <c r="F171" s="12">
        <v>2973</v>
      </c>
      <c r="G171" s="12" t="s">
        <v>19</v>
      </c>
    </row>
    <row r="172" spans="1:7" x14ac:dyDescent="0.3">
      <c r="A172" s="12" t="s">
        <v>25</v>
      </c>
      <c r="B172" s="12" t="s">
        <v>26</v>
      </c>
      <c r="C172" s="12" t="s">
        <v>24</v>
      </c>
      <c r="D172" s="12">
        <v>4</v>
      </c>
      <c r="E172" s="17">
        <v>445</v>
      </c>
      <c r="F172" s="12">
        <v>1780</v>
      </c>
      <c r="G172" s="12" t="s">
        <v>27</v>
      </c>
    </row>
    <row r="173" spans="1:7" x14ac:dyDescent="0.3">
      <c r="A173" s="12" t="s">
        <v>584</v>
      </c>
      <c r="B173" s="12" t="s">
        <v>1091</v>
      </c>
      <c r="C173" s="12" t="s">
        <v>18</v>
      </c>
      <c r="D173" s="12">
        <v>3</v>
      </c>
      <c r="E173" s="17">
        <v>352</v>
      </c>
      <c r="F173" s="12">
        <v>1056</v>
      </c>
      <c r="G173" s="12" t="s">
        <v>33</v>
      </c>
    </row>
    <row r="174" spans="1:7" x14ac:dyDescent="0.3">
      <c r="A174" s="12" t="s">
        <v>631</v>
      </c>
      <c r="B174" s="12" t="s">
        <v>716</v>
      </c>
      <c r="C174" s="12" t="s">
        <v>38</v>
      </c>
      <c r="D174" s="12">
        <v>1</v>
      </c>
      <c r="E174" s="17">
        <v>427</v>
      </c>
      <c r="F174" s="12">
        <v>427</v>
      </c>
      <c r="G174" s="12" t="s">
        <v>7</v>
      </c>
    </row>
    <row r="175" spans="1:7" x14ac:dyDescent="0.3">
      <c r="A175" s="12" t="s">
        <v>631</v>
      </c>
      <c r="B175" s="12" t="s">
        <v>1227</v>
      </c>
      <c r="C175" s="12" t="s">
        <v>65</v>
      </c>
      <c r="D175" s="12">
        <v>5</v>
      </c>
      <c r="E175" s="17">
        <v>186</v>
      </c>
      <c r="F175" s="12">
        <v>930</v>
      </c>
      <c r="G175" s="12" t="s">
        <v>7</v>
      </c>
    </row>
    <row r="176" spans="1:7" x14ac:dyDescent="0.3">
      <c r="A176" s="12" t="s">
        <v>360</v>
      </c>
      <c r="B176" s="12" t="s">
        <v>1257</v>
      </c>
      <c r="C176" s="12" t="s">
        <v>65</v>
      </c>
      <c r="D176" s="12">
        <v>1</v>
      </c>
      <c r="E176" s="17">
        <v>404</v>
      </c>
      <c r="F176" s="12">
        <v>404</v>
      </c>
      <c r="G176" s="12" t="s">
        <v>15</v>
      </c>
    </row>
    <row r="177" spans="1:7" x14ac:dyDescent="0.3">
      <c r="A177" s="12" t="s">
        <v>360</v>
      </c>
      <c r="B177" s="12" t="s">
        <v>875</v>
      </c>
      <c r="C177" s="12" t="s">
        <v>38</v>
      </c>
      <c r="D177" s="12">
        <v>4</v>
      </c>
      <c r="E177" s="17">
        <v>130</v>
      </c>
      <c r="F177" s="12">
        <v>520</v>
      </c>
      <c r="G177" s="12" t="s">
        <v>15</v>
      </c>
    </row>
    <row r="178" spans="1:7" x14ac:dyDescent="0.3">
      <c r="A178" s="12" t="s">
        <v>360</v>
      </c>
      <c r="B178" s="12" t="s">
        <v>363</v>
      </c>
      <c r="C178" s="12" t="s">
        <v>30</v>
      </c>
      <c r="D178" s="12">
        <v>2</v>
      </c>
      <c r="E178" s="17">
        <v>527</v>
      </c>
      <c r="F178" s="12">
        <v>1054</v>
      </c>
      <c r="G178" s="12" t="s">
        <v>11</v>
      </c>
    </row>
    <row r="179" spans="1:7" x14ac:dyDescent="0.3">
      <c r="A179" s="12" t="s">
        <v>426</v>
      </c>
      <c r="B179" s="12" t="s">
        <v>427</v>
      </c>
      <c r="C179" s="12" t="s">
        <v>65</v>
      </c>
      <c r="D179" s="12">
        <v>5</v>
      </c>
      <c r="E179" s="17">
        <v>222</v>
      </c>
      <c r="F179" s="12">
        <v>1110</v>
      </c>
      <c r="G179" s="12" t="s">
        <v>33</v>
      </c>
    </row>
    <row r="180" spans="1:7" x14ac:dyDescent="0.3">
      <c r="A180" s="12" t="s">
        <v>426</v>
      </c>
      <c r="B180" s="12" t="s">
        <v>887</v>
      </c>
      <c r="C180" s="12" t="s">
        <v>38</v>
      </c>
      <c r="D180" s="12">
        <v>3</v>
      </c>
      <c r="E180" s="17">
        <v>897</v>
      </c>
      <c r="F180" s="12">
        <v>2691</v>
      </c>
      <c r="G180" s="12" t="s">
        <v>11</v>
      </c>
    </row>
    <row r="181" spans="1:7" x14ac:dyDescent="0.3">
      <c r="A181" s="12" t="s">
        <v>426</v>
      </c>
      <c r="B181" s="12" t="s">
        <v>1252</v>
      </c>
      <c r="C181" s="12" t="s">
        <v>68</v>
      </c>
      <c r="D181" s="12">
        <v>6</v>
      </c>
      <c r="E181" s="17">
        <v>893</v>
      </c>
      <c r="F181" s="12">
        <v>5358</v>
      </c>
      <c r="G181" s="12" t="s">
        <v>19</v>
      </c>
    </row>
    <row r="182" spans="1:7" x14ac:dyDescent="0.3">
      <c r="A182" s="12" t="s">
        <v>312</v>
      </c>
      <c r="B182" s="12" t="s">
        <v>941</v>
      </c>
      <c r="C182" s="12" t="s">
        <v>30</v>
      </c>
      <c r="D182" s="12">
        <v>2</v>
      </c>
      <c r="E182" s="17">
        <v>342</v>
      </c>
      <c r="F182" s="12">
        <v>684</v>
      </c>
      <c r="G182" s="12" t="s">
        <v>19</v>
      </c>
    </row>
    <row r="183" spans="1:7" x14ac:dyDescent="0.3">
      <c r="A183" s="12" t="s">
        <v>312</v>
      </c>
      <c r="B183" s="12" t="s">
        <v>313</v>
      </c>
      <c r="C183" s="12" t="s">
        <v>68</v>
      </c>
      <c r="D183" s="12">
        <v>2</v>
      </c>
      <c r="E183" s="17">
        <v>555</v>
      </c>
      <c r="F183" s="12">
        <v>1110</v>
      </c>
      <c r="G183" s="12" t="s">
        <v>15</v>
      </c>
    </row>
    <row r="184" spans="1:7" x14ac:dyDescent="0.3">
      <c r="A184" s="12" t="s">
        <v>269</v>
      </c>
      <c r="B184" s="12" t="s">
        <v>270</v>
      </c>
      <c r="C184" s="12" t="s">
        <v>10</v>
      </c>
      <c r="D184" s="12">
        <v>3</v>
      </c>
      <c r="E184" s="17">
        <v>405</v>
      </c>
      <c r="F184" s="12">
        <v>1215</v>
      </c>
      <c r="G184" s="12" t="s">
        <v>11</v>
      </c>
    </row>
    <row r="185" spans="1:7" x14ac:dyDescent="0.3">
      <c r="A185" s="12" t="s">
        <v>472</v>
      </c>
      <c r="B185" s="12" t="s">
        <v>896</v>
      </c>
      <c r="C185" s="12" t="s">
        <v>38</v>
      </c>
      <c r="D185" s="12">
        <v>1</v>
      </c>
      <c r="E185" s="17">
        <v>680</v>
      </c>
      <c r="F185" s="12">
        <v>680</v>
      </c>
      <c r="G185" s="12" t="s">
        <v>33</v>
      </c>
    </row>
    <row r="186" spans="1:7" x14ac:dyDescent="0.3">
      <c r="A186" s="12" t="s">
        <v>349</v>
      </c>
      <c r="B186" s="12" t="s">
        <v>350</v>
      </c>
      <c r="C186" s="12" t="s">
        <v>30</v>
      </c>
      <c r="D186" s="12">
        <v>3</v>
      </c>
      <c r="E186" s="17">
        <v>469</v>
      </c>
      <c r="F186" s="12">
        <v>1407</v>
      </c>
      <c r="G186" s="12" t="s">
        <v>33</v>
      </c>
    </row>
    <row r="187" spans="1:7" x14ac:dyDescent="0.3">
      <c r="A187" s="12" t="s">
        <v>110</v>
      </c>
      <c r="B187" s="12" t="s">
        <v>1061</v>
      </c>
      <c r="C187" s="12" t="s">
        <v>65</v>
      </c>
      <c r="D187" s="12">
        <v>3</v>
      </c>
      <c r="E187" s="17">
        <v>636</v>
      </c>
      <c r="F187" s="12">
        <v>1908</v>
      </c>
      <c r="G187" s="12" t="s">
        <v>7</v>
      </c>
    </row>
    <row r="188" spans="1:7" x14ac:dyDescent="0.3">
      <c r="A188" s="12" t="s">
        <v>110</v>
      </c>
      <c r="B188" s="12" t="s">
        <v>111</v>
      </c>
      <c r="C188" s="12" t="s">
        <v>38</v>
      </c>
      <c r="D188" s="12">
        <v>6</v>
      </c>
      <c r="E188" s="17">
        <v>983</v>
      </c>
      <c r="F188" s="12">
        <v>5898</v>
      </c>
      <c r="G188" s="12" t="s">
        <v>15</v>
      </c>
    </row>
    <row r="189" spans="1:7" x14ac:dyDescent="0.3">
      <c r="A189" s="12" t="s">
        <v>811</v>
      </c>
      <c r="B189" s="12" t="s">
        <v>812</v>
      </c>
      <c r="C189" s="12" t="s">
        <v>24</v>
      </c>
      <c r="D189" s="12">
        <v>4</v>
      </c>
      <c r="E189" s="17">
        <v>520</v>
      </c>
      <c r="F189" s="12">
        <v>2080</v>
      </c>
      <c r="G189" s="12" t="s">
        <v>7</v>
      </c>
    </row>
    <row r="190" spans="1:7" x14ac:dyDescent="0.3">
      <c r="A190" s="12" t="s">
        <v>55</v>
      </c>
      <c r="B190" s="12" t="s">
        <v>56</v>
      </c>
      <c r="C190" s="12" t="s">
        <v>18</v>
      </c>
      <c r="D190" s="12">
        <v>2</v>
      </c>
      <c r="E190" s="17">
        <v>484</v>
      </c>
      <c r="F190" s="12">
        <v>968</v>
      </c>
      <c r="G190" s="12" t="s">
        <v>27</v>
      </c>
    </row>
    <row r="191" spans="1:7" x14ac:dyDescent="0.3">
      <c r="A191" s="12" t="s">
        <v>249</v>
      </c>
      <c r="B191" s="12" t="s">
        <v>1035</v>
      </c>
      <c r="C191" s="12" t="s">
        <v>10</v>
      </c>
      <c r="D191" s="12">
        <v>5</v>
      </c>
      <c r="E191" s="17">
        <v>577</v>
      </c>
      <c r="F191" s="12">
        <v>2885</v>
      </c>
      <c r="G191" s="12" t="s">
        <v>15</v>
      </c>
    </row>
    <row r="192" spans="1:7" x14ac:dyDescent="0.3">
      <c r="A192" s="12" t="s">
        <v>249</v>
      </c>
      <c r="B192" s="12" t="s">
        <v>250</v>
      </c>
      <c r="C192" s="12" t="s">
        <v>30</v>
      </c>
      <c r="D192" s="12">
        <v>6</v>
      </c>
      <c r="E192" s="17">
        <v>923</v>
      </c>
      <c r="F192" s="12">
        <v>5538</v>
      </c>
      <c r="G192" s="12" t="s">
        <v>15</v>
      </c>
    </row>
    <row r="193" spans="1:7" x14ac:dyDescent="0.3">
      <c r="A193" s="12" t="s">
        <v>561</v>
      </c>
      <c r="B193" s="12" t="s">
        <v>1068</v>
      </c>
      <c r="C193" s="12" t="s">
        <v>18</v>
      </c>
      <c r="D193" s="12">
        <v>5</v>
      </c>
      <c r="E193" s="17">
        <v>113</v>
      </c>
      <c r="F193" s="12">
        <v>565</v>
      </c>
      <c r="G193" s="12" t="s">
        <v>11</v>
      </c>
    </row>
    <row r="194" spans="1:7" x14ac:dyDescent="0.3">
      <c r="A194" s="12" t="s">
        <v>561</v>
      </c>
      <c r="B194" s="12" t="s">
        <v>751</v>
      </c>
      <c r="C194" s="12" t="s">
        <v>14</v>
      </c>
      <c r="D194" s="12">
        <v>3</v>
      </c>
      <c r="E194" s="17">
        <v>224</v>
      </c>
      <c r="F194" s="12">
        <v>672</v>
      </c>
      <c r="G194" s="12" t="s">
        <v>19</v>
      </c>
    </row>
    <row r="195" spans="1:7" x14ac:dyDescent="0.3">
      <c r="A195" s="12" t="s">
        <v>451</v>
      </c>
      <c r="B195" s="12" t="s">
        <v>452</v>
      </c>
      <c r="C195" s="12" t="s">
        <v>38</v>
      </c>
      <c r="D195" s="12">
        <v>1</v>
      </c>
      <c r="E195" s="17">
        <v>934</v>
      </c>
      <c r="F195" s="12">
        <v>934</v>
      </c>
      <c r="G195" s="12" t="s">
        <v>7</v>
      </c>
    </row>
    <row r="196" spans="1:7" x14ac:dyDescent="0.3">
      <c r="A196" s="12" t="s">
        <v>228</v>
      </c>
      <c r="B196" s="12" t="s">
        <v>981</v>
      </c>
      <c r="C196" s="12" t="s">
        <v>18</v>
      </c>
      <c r="D196" s="12">
        <v>3</v>
      </c>
      <c r="E196" s="17">
        <v>59</v>
      </c>
      <c r="F196" s="12">
        <v>177</v>
      </c>
      <c r="G196" s="12" t="s">
        <v>7</v>
      </c>
    </row>
    <row r="197" spans="1:7" x14ac:dyDescent="0.3">
      <c r="A197" s="12" t="s">
        <v>228</v>
      </c>
      <c r="B197" s="12" t="s">
        <v>934</v>
      </c>
      <c r="C197" s="12" t="s">
        <v>38</v>
      </c>
      <c r="D197" s="12">
        <v>2</v>
      </c>
      <c r="E197" s="17">
        <v>716</v>
      </c>
      <c r="F197" s="12">
        <v>1432</v>
      </c>
      <c r="G197" s="12" t="s">
        <v>19</v>
      </c>
    </row>
    <row r="198" spans="1:7" x14ac:dyDescent="0.3">
      <c r="A198" s="12" t="s">
        <v>436</v>
      </c>
      <c r="B198" s="12" t="s">
        <v>550</v>
      </c>
      <c r="C198" s="12" t="s">
        <v>79</v>
      </c>
      <c r="D198" s="12">
        <v>1</v>
      </c>
      <c r="E198" s="17">
        <v>213</v>
      </c>
      <c r="F198" s="12">
        <v>213</v>
      </c>
      <c r="G198" s="12" t="s">
        <v>11</v>
      </c>
    </row>
    <row r="199" spans="1:7" x14ac:dyDescent="0.3">
      <c r="A199" s="12" t="s">
        <v>990</v>
      </c>
      <c r="B199" s="12" t="s">
        <v>991</v>
      </c>
      <c r="C199" s="12" t="s">
        <v>10</v>
      </c>
      <c r="D199" s="12">
        <v>5</v>
      </c>
      <c r="E199" s="17">
        <v>706</v>
      </c>
      <c r="F199" s="12">
        <v>3530</v>
      </c>
      <c r="G199" s="12" t="s">
        <v>7</v>
      </c>
    </row>
    <row r="200" spans="1:7" x14ac:dyDescent="0.3">
      <c r="A200" s="12" t="s">
        <v>994</v>
      </c>
      <c r="B200" s="12" t="s">
        <v>1151</v>
      </c>
      <c r="C200" s="12" t="s">
        <v>18</v>
      </c>
      <c r="D200" s="12">
        <v>4</v>
      </c>
      <c r="E200" s="17">
        <v>169</v>
      </c>
      <c r="F200" s="12">
        <v>676</v>
      </c>
      <c r="G200" s="12" t="s">
        <v>19</v>
      </c>
    </row>
    <row r="201" spans="1:7" x14ac:dyDescent="0.3">
      <c r="A201" s="12" t="s">
        <v>994</v>
      </c>
      <c r="B201" s="12" t="s">
        <v>1268</v>
      </c>
      <c r="C201" s="12" t="s">
        <v>14</v>
      </c>
      <c r="D201" s="12">
        <v>5</v>
      </c>
      <c r="E201" s="17">
        <v>726</v>
      </c>
      <c r="F201" s="12">
        <v>3630</v>
      </c>
      <c r="G201" s="12" t="s">
        <v>27</v>
      </c>
    </row>
    <row r="202" spans="1:7" x14ac:dyDescent="0.3">
      <c r="A202" s="12" t="s">
        <v>328</v>
      </c>
      <c r="B202" s="12" t="s">
        <v>943</v>
      </c>
      <c r="C202" s="12" t="s">
        <v>79</v>
      </c>
      <c r="D202" s="12">
        <v>4</v>
      </c>
      <c r="E202" s="17">
        <v>110</v>
      </c>
      <c r="F202" s="12">
        <v>440</v>
      </c>
      <c r="G202" s="12" t="s">
        <v>27</v>
      </c>
    </row>
    <row r="203" spans="1:7" x14ac:dyDescent="0.3">
      <c r="A203" s="12" t="s">
        <v>328</v>
      </c>
      <c r="B203" s="12" t="s">
        <v>329</v>
      </c>
      <c r="C203" s="12" t="s">
        <v>24</v>
      </c>
      <c r="D203" s="12">
        <v>6</v>
      </c>
      <c r="E203" s="17">
        <v>676</v>
      </c>
      <c r="F203" s="12">
        <v>4056</v>
      </c>
      <c r="G203" s="12" t="s">
        <v>7</v>
      </c>
    </row>
    <row r="204" spans="1:7" x14ac:dyDescent="0.3">
      <c r="A204" s="12" t="s">
        <v>215</v>
      </c>
      <c r="B204" s="12" t="s">
        <v>1088</v>
      </c>
      <c r="C204" s="12" t="s">
        <v>14</v>
      </c>
      <c r="D204" s="12">
        <v>6</v>
      </c>
      <c r="E204" s="17">
        <v>170</v>
      </c>
      <c r="F204" s="12">
        <v>1020</v>
      </c>
      <c r="G204" s="12" t="s">
        <v>15</v>
      </c>
    </row>
    <row r="205" spans="1:7" x14ac:dyDescent="0.3">
      <c r="A205" s="12" t="s">
        <v>85</v>
      </c>
      <c r="B205" s="12" t="s">
        <v>600</v>
      </c>
      <c r="C205" s="12" t="s">
        <v>14</v>
      </c>
      <c r="D205" s="12">
        <v>1</v>
      </c>
      <c r="E205" s="17">
        <v>599</v>
      </c>
      <c r="F205" s="12">
        <v>599</v>
      </c>
      <c r="G205" s="12" t="s">
        <v>11</v>
      </c>
    </row>
    <row r="206" spans="1:7" x14ac:dyDescent="0.3">
      <c r="A206" s="12" t="s">
        <v>85</v>
      </c>
      <c r="B206" s="12" t="s">
        <v>1298</v>
      </c>
      <c r="C206" s="12" t="s">
        <v>65</v>
      </c>
      <c r="D206" s="12">
        <v>2</v>
      </c>
      <c r="E206" s="17">
        <v>844</v>
      </c>
      <c r="F206" s="12">
        <v>1688</v>
      </c>
      <c r="G206" s="12" t="s">
        <v>11</v>
      </c>
    </row>
    <row r="207" spans="1:7" x14ac:dyDescent="0.3">
      <c r="A207" s="12" t="s">
        <v>85</v>
      </c>
      <c r="B207" s="12" t="s">
        <v>1013</v>
      </c>
      <c r="C207" s="12" t="s">
        <v>24</v>
      </c>
      <c r="D207" s="12">
        <v>6</v>
      </c>
      <c r="E207" s="17">
        <v>713</v>
      </c>
      <c r="F207" s="12">
        <v>4278</v>
      </c>
      <c r="G207" s="12" t="s">
        <v>27</v>
      </c>
    </row>
    <row r="208" spans="1:7" x14ac:dyDescent="0.3">
      <c r="A208" s="12" t="s">
        <v>189</v>
      </c>
      <c r="B208" s="12" t="s">
        <v>190</v>
      </c>
      <c r="C208" s="12" t="s">
        <v>68</v>
      </c>
      <c r="D208" s="12">
        <v>3</v>
      </c>
      <c r="E208" s="17">
        <v>128</v>
      </c>
      <c r="F208" s="12">
        <v>384</v>
      </c>
      <c r="G208" s="12" t="s">
        <v>11</v>
      </c>
    </row>
    <row r="209" spans="1:7" x14ac:dyDescent="0.3">
      <c r="A209" s="12" t="s">
        <v>689</v>
      </c>
      <c r="B209" s="12" t="s">
        <v>872</v>
      </c>
      <c r="C209" s="12" t="s">
        <v>38</v>
      </c>
      <c r="D209" s="12">
        <v>1</v>
      </c>
      <c r="E209" s="17">
        <v>93</v>
      </c>
      <c r="F209" s="12">
        <v>93</v>
      </c>
      <c r="G209" s="12" t="s">
        <v>19</v>
      </c>
    </row>
    <row r="210" spans="1:7" x14ac:dyDescent="0.3">
      <c r="A210" s="12" t="s">
        <v>689</v>
      </c>
      <c r="B210" s="12" t="s">
        <v>1251</v>
      </c>
      <c r="C210" s="12" t="s">
        <v>24</v>
      </c>
      <c r="D210" s="12">
        <v>2</v>
      </c>
      <c r="E210" s="17">
        <v>438</v>
      </c>
      <c r="F210" s="12">
        <v>876</v>
      </c>
      <c r="G210" s="12" t="s">
        <v>19</v>
      </c>
    </row>
    <row r="211" spans="1:7" x14ac:dyDescent="0.3">
      <c r="A211" s="12" t="s">
        <v>689</v>
      </c>
      <c r="B211" s="12" t="s">
        <v>1107</v>
      </c>
      <c r="C211" s="12" t="s">
        <v>68</v>
      </c>
      <c r="D211" s="12">
        <v>3</v>
      </c>
      <c r="E211" s="17">
        <v>768</v>
      </c>
      <c r="F211" s="12">
        <v>2304</v>
      </c>
      <c r="G211" s="12" t="s">
        <v>7</v>
      </c>
    </row>
    <row r="212" spans="1:7" x14ac:dyDescent="0.3">
      <c r="A212" s="12" t="s">
        <v>223</v>
      </c>
      <c r="B212" s="12" t="s">
        <v>224</v>
      </c>
      <c r="C212" s="12" t="s">
        <v>24</v>
      </c>
      <c r="D212" s="12">
        <v>6</v>
      </c>
      <c r="E212" s="17">
        <v>170</v>
      </c>
      <c r="F212" s="12">
        <v>1020</v>
      </c>
      <c r="G212" s="12" t="s">
        <v>33</v>
      </c>
    </row>
    <row r="213" spans="1:7" x14ac:dyDescent="0.3">
      <c r="A213" s="12" t="s">
        <v>354</v>
      </c>
      <c r="B213" s="12" t="s">
        <v>1173</v>
      </c>
      <c r="C213" s="12" t="s">
        <v>6</v>
      </c>
      <c r="D213" s="12">
        <v>1</v>
      </c>
      <c r="E213" s="17">
        <v>523</v>
      </c>
      <c r="F213" s="12">
        <v>523</v>
      </c>
      <c r="G213" s="12" t="s">
        <v>11</v>
      </c>
    </row>
    <row r="214" spans="1:7" x14ac:dyDescent="0.3">
      <c r="A214" s="12" t="s">
        <v>34</v>
      </c>
      <c r="B214" s="12" t="s">
        <v>567</v>
      </c>
      <c r="C214" s="12" t="s">
        <v>14</v>
      </c>
      <c r="D214" s="12">
        <v>2</v>
      </c>
      <c r="E214" s="17">
        <v>528</v>
      </c>
      <c r="F214" s="12">
        <v>1056</v>
      </c>
      <c r="G214" s="12" t="s">
        <v>33</v>
      </c>
    </row>
    <row r="215" spans="1:7" x14ac:dyDescent="0.3">
      <c r="A215" s="12" t="s">
        <v>34</v>
      </c>
      <c r="B215" s="12" t="s">
        <v>883</v>
      </c>
      <c r="C215" s="12" t="s">
        <v>10</v>
      </c>
      <c r="D215" s="12">
        <v>3</v>
      </c>
      <c r="E215" s="17">
        <v>815</v>
      </c>
      <c r="F215" s="12">
        <v>2445</v>
      </c>
      <c r="G215" s="12" t="s">
        <v>15</v>
      </c>
    </row>
    <row r="216" spans="1:7" x14ac:dyDescent="0.3">
      <c r="A216" s="12" t="s">
        <v>34</v>
      </c>
      <c r="B216" s="12" t="s">
        <v>35</v>
      </c>
      <c r="C216" s="12" t="s">
        <v>6</v>
      </c>
      <c r="D216" s="12">
        <v>5</v>
      </c>
      <c r="E216" s="17">
        <v>558</v>
      </c>
      <c r="F216" s="12">
        <v>2790</v>
      </c>
      <c r="G216" s="12" t="s">
        <v>15</v>
      </c>
    </row>
    <row r="217" spans="1:7" x14ac:dyDescent="0.3">
      <c r="A217" s="12" t="s">
        <v>34</v>
      </c>
      <c r="B217" s="12" t="s">
        <v>256</v>
      </c>
      <c r="C217" s="12" t="s">
        <v>6</v>
      </c>
      <c r="D217" s="12">
        <v>4</v>
      </c>
      <c r="E217" s="17">
        <v>970</v>
      </c>
      <c r="F217" s="12">
        <v>3880</v>
      </c>
      <c r="G217" s="12" t="s">
        <v>11</v>
      </c>
    </row>
    <row r="218" spans="1:7" x14ac:dyDescent="0.3">
      <c r="A218" s="12" t="s">
        <v>911</v>
      </c>
      <c r="B218" s="12" t="s">
        <v>1215</v>
      </c>
      <c r="C218" s="12" t="s">
        <v>14</v>
      </c>
      <c r="D218" s="12">
        <v>6</v>
      </c>
      <c r="E218" s="17">
        <v>441</v>
      </c>
      <c r="F218" s="12">
        <v>2646</v>
      </c>
      <c r="G218" s="12" t="s">
        <v>11</v>
      </c>
    </row>
    <row r="219" spans="1:7" x14ac:dyDescent="0.3">
      <c r="A219" s="12" t="s">
        <v>77</v>
      </c>
      <c r="B219" s="12" t="s">
        <v>1210</v>
      </c>
      <c r="C219" s="12" t="s">
        <v>14</v>
      </c>
      <c r="D219" s="12">
        <v>1</v>
      </c>
      <c r="E219" s="17">
        <v>796</v>
      </c>
      <c r="F219" s="12">
        <v>796</v>
      </c>
      <c r="G219" s="12" t="s">
        <v>19</v>
      </c>
    </row>
    <row r="220" spans="1:7" x14ac:dyDescent="0.3">
      <c r="A220" s="12" t="s">
        <v>77</v>
      </c>
      <c r="B220" s="12" t="s">
        <v>319</v>
      </c>
      <c r="C220" s="12" t="s">
        <v>6</v>
      </c>
      <c r="D220" s="12">
        <v>6</v>
      </c>
      <c r="E220" s="17">
        <v>636</v>
      </c>
      <c r="F220" s="12">
        <v>3816</v>
      </c>
      <c r="G220" s="12" t="s">
        <v>19</v>
      </c>
    </row>
    <row r="221" spans="1:7" x14ac:dyDescent="0.3">
      <c r="A221" s="12" t="s">
        <v>114</v>
      </c>
      <c r="B221" s="12" t="s">
        <v>115</v>
      </c>
      <c r="C221" s="12" t="s">
        <v>6</v>
      </c>
      <c r="D221" s="12">
        <v>4</v>
      </c>
      <c r="E221" s="17">
        <v>679</v>
      </c>
      <c r="F221" s="12">
        <v>2716</v>
      </c>
      <c r="G221" s="12" t="s">
        <v>33</v>
      </c>
    </row>
    <row r="222" spans="1:7" x14ac:dyDescent="0.3">
      <c r="A222" s="12" t="s">
        <v>900</v>
      </c>
      <c r="B222" s="12" t="s">
        <v>1300</v>
      </c>
      <c r="C222" s="12" t="s">
        <v>10</v>
      </c>
      <c r="D222" s="12">
        <v>5</v>
      </c>
      <c r="E222" s="17">
        <v>565</v>
      </c>
      <c r="F222" s="12">
        <v>2825</v>
      </c>
      <c r="G222" s="12" t="s">
        <v>27</v>
      </c>
    </row>
    <row r="223" spans="1:7" x14ac:dyDescent="0.3">
      <c r="A223" s="12" t="s">
        <v>191</v>
      </c>
      <c r="B223" s="12" t="s">
        <v>378</v>
      </c>
      <c r="C223" s="12" t="s">
        <v>6</v>
      </c>
      <c r="D223" s="12">
        <v>6</v>
      </c>
      <c r="E223" s="17">
        <v>236</v>
      </c>
      <c r="F223" s="12">
        <v>1416</v>
      </c>
      <c r="G223" s="12" t="s">
        <v>11</v>
      </c>
    </row>
    <row r="224" spans="1:7" x14ac:dyDescent="0.3">
      <c r="A224" s="12" t="s">
        <v>251</v>
      </c>
      <c r="B224" s="12" t="s">
        <v>1011</v>
      </c>
      <c r="C224" s="12" t="s">
        <v>24</v>
      </c>
      <c r="D224" s="12">
        <v>1</v>
      </c>
      <c r="E224" s="17">
        <v>798</v>
      </c>
      <c r="F224" s="12">
        <v>798</v>
      </c>
      <c r="G224" s="12" t="s">
        <v>11</v>
      </c>
    </row>
    <row r="225" spans="1:7" x14ac:dyDescent="0.3">
      <c r="A225" s="12" t="s">
        <v>251</v>
      </c>
      <c r="B225" s="12" t="s">
        <v>438</v>
      </c>
      <c r="C225" s="12" t="s">
        <v>30</v>
      </c>
      <c r="D225" s="12">
        <v>6</v>
      </c>
      <c r="E225" s="17">
        <v>973</v>
      </c>
      <c r="F225" s="12">
        <v>5838</v>
      </c>
      <c r="G225" s="12" t="s">
        <v>11</v>
      </c>
    </row>
    <row r="226" spans="1:7" x14ac:dyDescent="0.3">
      <c r="A226" s="12" t="s">
        <v>817</v>
      </c>
      <c r="B226" s="12" t="s">
        <v>819</v>
      </c>
      <c r="C226" s="12" t="s">
        <v>6</v>
      </c>
      <c r="D226" s="12">
        <v>3</v>
      </c>
      <c r="E226" s="17">
        <v>742</v>
      </c>
      <c r="F226" s="12">
        <v>2226</v>
      </c>
      <c r="G226" s="12" t="s">
        <v>7</v>
      </c>
    </row>
    <row r="227" spans="1:7" x14ac:dyDescent="0.3">
      <c r="A227" s="12" t="s">
        <v>745</v>
      </c>
      <c r="B227" s="12" t="s">
        <v>1170</v>
      </c>
      <c r="C227" s="12" t="s">
        <v>68</v>
      </c>
      <c r="D227" s="12">
        <v>1</v>
      </c>
      <c r="E227" s="17">
        <v>627</v>
      </c>
      <c r="F227" s="12">
        <v>627</v>
      </c>
      <c r="G227" s="12" t="s">
        <v>7</v>
      </c>
    </row>
    <row r="228" spans="1:7" x14ac:dyDescent="0.3">
      <c r="A228" s="12" t="s">
        <v>745</v>
      </c>
      <c r="B228" s="12" t="s">
        <v>1001</v>
      </c>
      <c r="C228" s="12" t="s">
        <v>10</v>
      </c>
      <c r="D228" s="12">
        <v>3</v>
      </c>
      <c r="E228" s="17">
        <v>529</v>
      </c>
      <c r="F228" s="12">
        <v>1587</v>
      </c>
      <c r="G228" s="12" t="s">
        <v>11</v>
      </c>
    </row>
    <row r="229" spans="1:7" x14ac:dyDescent="0.3">
      <c r="A229" s="12" t="s">
        <v>745</v>
      </c>
      <c r="B229" s="12" t="s">
        <v>1039</v>
      </c>
      <c r="C229" s="12" t="s">
        <v>65</v>
      </c>
      <c r="D229" s="12">
        <v>3</v>
      </c>
      <c r="E229" s="17">
        <v>735</v>
      </c>
      <c r="F229" s="12">
        <v>2205</v>
      </c>
      <c r="G229" s="12" t="s">
        <v>15</v>
      </c>
    </row>
    <row r="230" spans="1:7" x14ac:dyDescent="0.3">
      <c r="A230" s="12" t="s">
        <v>552</v>
      </c>
      <c r="B230" s="12" t="s">
        <v>553</v>
      </c>
      <c r="C230" s="12" t="s">
        <v>24</v>
      </c>
      <c r="D230" s="12">
        <v>1</v>
      </c>
      <c r="E230" s="17">
        <v>385</v>
      </c>
      <c r="F230" s="12">
        <v>385</v>
      </c>
      <c r="G230" s="12" t="s">
        <v>11</v>
      </c>
    </row>
    <row r="231" spans="1:7" x14ac:dyDescent="0.3">
      <c r="A231" s="12" t="s">
        <v>552</v>
      </c>
      <c r="B231" s="12" t="s">
        <v>788</v>
      </c>
      <c r="C231" s="12" t="s">
        <v>10</v>
      </c>
      <c r="D231" s="12">
        <v>6</v>
      </c>
      <c r="E231" s="17">
        <v>532</v>
      </c>
      <c r="F231" s="12">
        <v>3192</v>
      </c>
      <c r="G231" s="12" t="s">
        <v>15</v>
      </c>
    </row>
    <row r="232" spans="1:7" x14ac:dyDescent="0.3">
      <c r="A232" s="12" t="s">
        <v>304</v>
      </c>
      <c r="B232" s="12" t="s">
        <v>1200</v>
      </c>
      <c r="C232" s="12" t="s">
        <v>18</v>
      </c>
      <c r="D232" s="12">
        <v>1</v>
      </c>
      <c r="E232" s="17">
        <v>82</v>
      </c>
      <c r="F232" s="12">
        <v>82</v>
      </c>
      <c r="G232" s="12" t="s">
        <v>7</v>
      </c>
    </row>
    <row r="233" spans="1:7" x14ac:dyDescent="0.3">
      <c r="A233" s="12" t="s">
        <v>304</v>
      </c>
      <c r="B233" s="12" t="s">
        <v>1228</v>
      </c>
      <c r="C233" s="12" t="s">
        <v>65</v>
      </c>
      <c r="D233" s="12">
        <v>5</v>
      </c>
      <c r="E233" s="17">
        <v>719</v>
      </c>
      <c r="F233" s="12">
        <v>3595</v>
      </c>
      <c r="G233" s="12" t="s">
        <v>7</v>
      </c>
    </row>
    <row r="234" spans="1:7" x14ac:dyDescent="0.3">
      <c r="A234" s="12" t="s">
        <v>304</v>
      </c>
      <c r="B234" s="12" t="s">
        <v>1229</v>
      </c>
      <c r="C234" s="12" t="s">
        <v>6</v>
      </c>
      <c r="D234" s="12">
        <v>4</v>
      </c>
      <c r="E234" s="17">
        <v>930</v>
      </c>
      <c r="F234" s="12">
        <v>3720</v>
      </c>
      <c r="G234" s="12" t="s">
        <v>7</v>
      </c>
    </row>
    <row r="235" spans="1:7" x14ac:dyDescent="0.3">
      <c r="A235" s="12" t="s">
        <v>453</v>
      </c>
      <c r="B235" s="12" t="s">
        <v>454</v>
      </c>
      <c r="C235" s="12" t="s">
        <v>10</v>
      </c>
      <c r="D235" s="12">
        <v>1</v>
      </c>
      <c r="E235" s="17">
        <v>79</v>
      </c>
      <c r="F235" s="12">
        <v>79</v>
      </c>
      <c r="G235" s="12" t="s">
        <v>19</v>
      </c>
    </row>
    <row r="236" spans="1:7" x14ac:dyDescent="0.3">
      <c r="A236" s="12" t="s">
        <v>829</v>
      </c>
      <c r="B236" s="12" t="s">
        <v>830</v>
      </c>
      <c r="C236" s="12" t="s">
        <v>65</v>
      </c>
      <c r="D236" s="12">
        <v>5</v>
      </c>
      <c r="E236" s="17">
        <v>320</v>
      </c>
      <c r="F236" s="12">
        <v>1600</v>
      </c>
      <c r="G236" s="12" t="s">
        <v>11</v>
      </c>
    </row>
    <row r="237" spans="1:7" x14ac:dyDescent="0.3">
      <c r="A237" s="12" t="s">
        <v>1040</v>
      </c>
      <c r="B237" s="12" t="s">
        <v>1041</v>
      </c>
      <c r="C237" s="12" t="s">
        <v>18</v>
      </c>
      <c r="D237" s="12">
        <v>1</v>
      </c>
      <c r="E237" s="17">
        <v>147</v>
      </c>
      <c r="F237" s="12">
        <v>147</v>
      </c>
      <c r="G237" s="12" t="s">
        <v>11</v>
      </c>
    </row>
    <row r="238" spans="1:7" x14ac:dyDescent="0.3">
      <c r="A238" s="12" t="s">
        <v>125</v>
      </c>
      <c r="B238" s="12" t="s">
        <v>696</v>
      </c>
      <c r="C238" s="12" t="s">
        <v>68</v>
      </c>
      <c r="D238" s="12">
        <v>1</v>
      </c>
      <c r="E238" s="17">
        <v>681</v>
      </c>
      <c r="F238" s="12">
        <v>681</v>
      </c>
      <c r="G238" s="12" t="s">
        <v>33</v>
      </c>
    </row>
    <row r="239" spans="1:7" x14ac:dyDescent="0.3">
      <c r="A239" s="12" t="s">
        <v>125</v>
      </c>
      <c r="B239" s="12" t="s">
        <v>470</v>
      </c>
      <c r="C239" s="12" t="s">
        <v>14</v>
      </c>
      <c r="D239" s="12">
        <v>6</v>
      </c>
      <c r="E239" s="17">
        <v>704</v>
      </c>
      <c r="F239" s="12">
        <v>4224</v>
      </c>
      <c r="G239" s="12" t="s">
        <v>11</v>
      </c>
    </row>
    <row r="240" spans="1:7" x14ac:dyDescent="0.3">
      <c r="A240" s="12" t="s">
        <v>592</v>
      </c>
      <c r="B240" s="12" t="s">
        <v>593</v>
      </c>
      <c r="C240" s="12" t="s">
        <v>6</v>
      </c>
      <c r="D240" s="12">
        <v>6</v>
      </c>
      <c r="E240" s="17">
        <v>661</v>
      </c>
      <c r="F240" s="12">
        <v>3966</v>
      </c>
      <c r="G240" s="12" t="s">
        <v>7</v>
      </c>
    </row>
    <row r="241" spans="1:7" x14ac:dyDescent="0.3">
      <c r="A241" s="12" t="s">
        <v>603</v>
      </c>
      <c r="B241" s="12" t="s">
        <v>604</v>
      </c>
      <c r="C241" s="12" t="s">
        <v>65</v>
      </c>
      <c r="D241" s="12">
        <v>4</v>
      </c>
      <c r="E241" s="17">
        <v>917</v>
      </c>
      <c r="F241" s="12">
        <v>3668</v>
      </c>
      <c r="G241" s="12" t="s">
        <v>19</v>
      </c>
    </row>
    <row r="242" spans="1:7" x14ac:dyDescent="0.3">
      <c r="A242" s="12" t="s">
        <v>1052</v>
      </c>
      <c r="B242" s="12" t="s">
        <v>1105</v>
      </c>
      <c r="C242" s="12" t="s">
        <v>68</v>
      </c>
      <c r="D242" s="12">
        <v>2</v>
      </c>
      <c r="E242" s="17">
        <v>432</v>
      </c>
      <c r="F242" s="12">
        <v>864</v>
      </c>
      <c r="G242" s="12" t="s">
        <v>19</v>
      </c>
    </row>
    <row r="243" spans="1:7" x14ac:dyDescent="0.3">
      <c r="A243" s="12" t="s">
        <v>100</v>
      </c>
      <c r="B243" s="12" t="s">
        <v>1232</v>
      </c>
      <c r="C243" s="12" t="s">
        <v>38</v>
      </c>
      <c r="D243" s="12">
        <v>2</v>
      </c>
      <c r="E243" s="17">
        <v>232</v>
      </c>
      <c r="F243" s="12">
        <v>464</v>
      </c>
      <c r="G243" s="12" t="s">
        <v>15</v>
      </c>
    </row>
    <row r="244" spans="1:7" x14ac:dyDescent="0.3">
      <c r="A244" s="12" t="s">
        <v>100</v>
      </c>
      <c r="B244" s="12" t="s">
        <v>646</v>
      </c>
      <c r="C244" s="12" t="s">
        <v>38</v>
      </c>
      <c r="D244" s="12">
        <v>6</v>
      </c>
      <c r="E244" s="17">
        <v>181</v>
      </c>
      <c r="F244" s="12">
        <v>1086</v>
      </c>
      <c r="G244" s="12" t="s">
        <v>11</v>
      </c>
    </row>
    <row r="245" spans="1:7" x14ac:dyDescent="0.3">
      <c r="A245" s="12" t="s">
        <v>100</v>
      </c>
      <c r="B245" s="12" t="s">
        <v>730</v>
      </c>
      <c r="C245" s="12" t="s">
        <v>6</v>
      </c>
      <c r="D245" s="12">
        <v>3</v>
      </c>
      <c r="E245" s="17">
        <v>754</v>
      </c>
      <c r="F245" s="12">
        <v>2262</v>
      </c>
      <c r="G245" s="12" t="s">
        <v>7</v>
      </c>
    </row>
    <row r="246" spans="1:7" x14ac:dyDescent="0.3">
      <c r="A246" s="12" t="s">
        <v>308</v>
      </c>
      <c r="B246" s="12" t="s">
        <v>803</v>
      </c>
      <c r="C246" s="12" t="s">
        <v>38</v>
      </c>
      <c r="D246" s="12">
        <v>1</v>
      </c>
      <c r="E246" s="17">
        <v>382</v>
      </c>
      <c r="F246" s="12">
        <v>382</v>
      </c>
      <c r="G246" s="12" t="s">
        <v>27</v>
      </c>
    </row>
    <row r="247" spans="1:7" x14ac:dyDescent="0.3">
      <c r="A247" s="12" t="s">
        <v>308</v>
      </c>
      <c r="B247" s="12" t="s">
        <v>596</v>
      </c>
      <c r="C247" s="12" t="s">
        <v>10</v>
      </c>
      <c r="D247" s="12">
        <v>3</v>
      </c>
      <c r="E247" s="17">
        <v>719</v>
      </c>
      <c r="F247" s="12">
        <v>2157</v>
      </c>
      <c r="G247" s="12" t="s">
        <v>33</v>
      </c>
    </row>
    <row r="248" spans="1:7" x14ac:dyDescent="0.3">
      <c r="A248" s="12" t="s">
        <v>308</v>
      </c>
      <c r="B248" s="12" t="s">
        <v>598</v>
      </c>
      <c r="C248" s="12" t="s">
        <v>79</v>
      </c>
      <c r="D248" s="12">
        <v>6</v>
      </c>
      <c r="E248" s="17">
        <v>531</v>
      </c>
      <c r="F248" s="12">
        <v>3186</v>
      </c>
      <c r="G248" s="12" t="s">
        <v>19</v>
      </c>
    </row>
    <row r="249" spans="1:7" x14ac:dyDescent="0.3">
      <c r="A249" s="12" t="s">
        <v>763</v>
      </c>
      <c r="B249" s="12" t="s">
        <v>1214</v>
      </c>
      <c r="C249" s="12" t="s">
        <v>24</v>
      </c>
      <c r="D249" s="12">
        <v>2</v>
      </c>
      <c r="E249" s="17">
        <v>962</v>
      </c>
      <c r="F249" s="12">
        <v>1924</v>
      </c>
      <c r="G249" s="12" t="s">
        <v>11</v>
      </c>
    </row>
    <row r="250" spans="1:7" x14ac:dyDescent="0.3">
      <c r="A250" s="12" t="s">
        <v>763</v>
      </c>
      <c r="B250" s="12" t="s">
        <v>792</v>
      </c>
      <c r="C250" s="12" t="s">
        <v>68</v>
      </c>
      <c r="D250" s="12">
        <v>5</v>
      </c>
      <c r="E250" s="17">
        <v>803</v>
      </c>
      <c r="F250" s="12">
        <v>4015</v>
      </c>
      <c r="G250" s="12" t="s">
        <v>27</v>
      </c>
    </row>
    <row r="251" spans="1:7" x14ac:dyDescent="0.3">
      <c r="A251" s="12" t="s">
        <v>129</v>
      </c>
      <c r="B251" s="12" t="s">
        <v>1056</v>
      </c>
      <c r="C251" s="12" t="s">
        <v>18</v>
      </c>
      <c r="D251" s="12">
        <v>1</v>
      </c>
      <c r="E251" s="17">
        <v>387</v>
      </c>
      <c r="F251" s="12">
        <v>387</v>
      </c>
      <c r="G251" s="12" t="s">
        <v>19</v>
      </c>
    </row>
    <row r="252" spans="1:7" x14ac:dyDescent="0.3">
      <c r="A252" s="12" t="s">
        <v>684</v>
      </c>
      <c r="B252" s="12" t="s">
        <v>685</v>
      </c>
      <c r="C252" s="12" t="s">
        <v>30</v>
      </c>
      <c r="D252" s="12">
        <v>1</v>
      </c>
      <c r="E252" s="17">
        <v>964</v>
      </c>
      <c r="F252" s="12">
        <v>964</v>
      </c>
      <c r="G252" s="12" t="s">
        <v>33</v>
      </c>
    </row>
    <row r="253" spans="1:7" x14ac:dyDescent="0.3">
      <c r="A253" s="12" t="s">
        <v>574</v>
      </c>
      <c r="B253" s="12" t="s">
        <v>575</v>
      </c>
      <c r="C253" s="12" t="s">
        <v>30</v>
      </c>
      <c r="D253" s="12">
        <v>6</v>
      </c>
      <c r="E253" s="17">
        <v>73</v>
      </c>
      <c r="F253" s="12">
        <v>438</v>
      </c>
      <c r="G253" s="12" t="s">
        <v>33</v>
      </c>
    </row>
    <row r="254" spans="1:7" x14ac:dyDescent="0.3">
      <c r="A254" s="12" t="s">
        <v>428</v>
      </c>
      <c r="B254" s="12" t="s">
        <v>720</v>
      </c>
      <c r="C254" s="12" t="s">
        <v>30</v>
      </c>
      <c r="D254" s="12">
        <v>2</v>
      </c>
      <c r="E254" s="17">
        <v>162</v>
      </c>
      <c r="F254" s="12">
        <v>324</v>
      </c>
      <c r="G254" s="12" t="s">
        <v>11</v>
      </c>
    </row>
    <row r="255" spans="1:7" x14ac:dyDescent="0.3">
      <c r="A255" s="12" t="s">
        <v>428</v>
      </c>
      <c r="B255" s="12" t="s">
        <v>721</v>
      </c>
      <c r="C255" s="12" t="s">
        <v>18</v>
      </c>
      <c r="D255" s="12">
        <v>2</v>
      </c>
      <c r="E255" s="17">
        <v>476</v>
      </c>
      <c r="F255" s="12">
        <v>952</v>
      </c>
      <c r="G255" s="12" t="s">
        <v>27</v>
      </c>
    </row>
    <row r="256" spans="1:7" x14ac:dyDescent="0.3">
      <c r="A256" s="12" t="s">
        <v>428</v>
      </c>
      <c r="B256" s="12" t="s">
        <v>1249</v>
      </c>
      <c r="C256" s="12" t="s">
        <v>65</v>
      </c>
      <c r="D256" s="12">
        <v>5</v>
      </c>
      <c r="E256" s="17">
        <v>484</v>
      </c>
      <c r="F256" s="12">
        <v>2420</v>
      </c>
      <c r="G256" s="12" t="s">
        <v>11</v>
      </c>
    </row>
    <row r="257" spans="1:7" x14ac:dyDescent="0.3">
      <c r="A257" s="12" t="s">
        <v>226</v>
      </c>
      <c r="B257" s="12" t="s">
        <v>1181</v>
      </c>
      <c r="C257" s="12" t="s">
        <v>24</v>
      </c>
      <c r="D257" s="12">
        <v>2</v>
      </c>
      <c r="E257" s="17">
        <v>310</v>
      </c>
      <c r="F257" s="12">
        <v>620</v>
      </c>
      <c r="G257" s="12" t="s">
        <v>15</v>
      </c>
    </row>
    <row r="258" spans="1:7" x14ac:dyDescent="0.3">
      <c r="A258" s="12" t="s">
        <v>226</v>
      </c>
      <c r="B258" s="12" t="s">
        <v>723</v>
      </c>
      <c r="C258" s="12" t="s">
        <v>38</v>
      </c>
      <c r="D258" s="12">
        <v>4</v>
      </c>
      <c r="E258" s="17">
        <v>365</v>
      </c>
      <c r="F258" s="12">
        <v>1460</v>
      </c>
      <c r="G258" s="12" t="s">
        <v>11</v>
      </c>
    </row>
    <row r="259" spans="1:7" x14ac:dyDescent="0.3">
      <c r="A259" s="12" t="s">
        <v>226</v>
      </c>
      <c r="B259" s="12" t="s">
        <v>227</v>
      </c>
      <c r="C259" s="12" t="s">
        <v>65</v>
      </c>
      <c r="D259" s="12">
        <v>4</v>
      </c>
      <c r="E259" s="17">
        <v>843</v>
      </c>
      <c r="F259" s="12">
        <v>3372</v>
      </c>
      <c r="G259" s="12" t="s">
        <v>33</v>
      </c>
    </row>
    <row r="260" spans="1:7" x14ac:dyDescent="0.3">
      <c r="A260" s="12" t="s">
        <v>235</v>
      </c>
      <c r="B260" s="12" t="s">
        <v>873</v>
      </c>
      <c r="C260" s="12" t="s">
        <v>18</v>
      </c>
      <c r="D260" s="12">
        <v>3</v>
      </c>
      <c r="E260" s="17">
        <v>344</v>
      </c>
      <c r="F260" s="12">
        <v>1032</v>
      </c>
      <c r="G260" s="12" t="s">
        <v>11</v>
      </c>
    </row>
    <row r="261" spans="1:7" x14ac:dyDescent="0.3">
      <c r="A261" s="12" t="s">
        <v>235</v>
      </c>
      <c r="B261" s="12" t="s">
        <v>236</v>
      </c>
      <c r="C261" s="12" t="s">
        <v>24</v>
      </c>
      <c r="D261" s="12">
        <v>6</v>
      </c>
      <c r="E261" s="17">
        <v>676</v>
      </c>
      <c r="F261" s="12">
        <v>4056</v>
      </c>
      <c r="G261" s="12" t="s">
        <v>33</v>
      </c>
    </row>
    <row r="262" spans="1:7" x14ac:dyDescent="0.3">
      <c r="A262" s="12" t="s">
        <v>420</v>
      </c>
      <c r="B262" s="12" t="s">
        <v>1301</v>
      </c>
      <c r="C262" s="12" t="s">
        <v>68</v>
      </c>
      <c r="D262" s="12">
        <v>3</v>
      </c>
      <c r="E262" s="17">
        <v>346</v>
      </c>
      <c r="F262" s="12">
        <v>1038</v>
      </c>
      <c r="G262" s="12" t="s">
        <v>27</v>
      </c>
    </row>
    <row r="263" spans="1:7" x14ac:dyDescent="0.3">
      <c r="A263" s="12" t="s">
        <v>420</v>
      </c>
      <c r="B263" s="12" t="s">
        <v>1050</v>
      </c>
      <c r="C263" s="12" t="s">
        <v>30</v>
      </c>
      <c r="D263" s="12">
        <v>6</v>
      </c>
      <c r="E263" s="17">
        <v>291</v>
      </c>
      <c r="F263" s="12">
        <v>1746</v>
      </c>
      <c r="G263" s="12" t="s">
        <v>11</v>
      </c>
    </row>
    <row r="264" spans="1:7" x14ac:dyDescent="0.3">
      <c r="A264" s="12" t="s">
        <v>789</v>
      </c>
      <c r="B264" s="12" t="s">
        <v>1146</v>
      </c>
      <c r="C264" s="12" t="s">
        <v>6</v>
      </c>
      <c r="D264" s="12">
        <v>3</v>
      </c>
      <c r="E264" s="17">
        <v>193</v>
      </c>
      <c r="F264" s="12">
        <v>579</v>
      </c>
      <c r="G264" s="12" t="s">
        <v>27</v>
      </c>
    </row>
    <row r="265" spans="1:7" x14ac:dyDescent="0.3">
      <c r="A265" s="12" t="s">
        <v>789</v>
      </c>
      <c r="B265" s="12" t="s">
        <v>1065</v>
      </c>
      <c r="C265" s="12" t="s">
        <v>6</v>
      </c>
      <c r="D265" s="12">
        <v>6</v>
      </c>
      <c r="E265" s="17">
        <v>418</v>
      </c>
      <c r="F265" s="12">
        <v>2508</v>
      </c>
      <c r="G265" s="12" t="s">
        <v>27</v>
      </c>
    </row>
    <row r="266" spans="1:7" x14ac:dyDescent="0.3">
      <c r="A266" s="12" t="s">
        <v>844</v>
      </c>
      <c r="B266" s="12" t="s">
        <v>1299</v>
      </c>
      <c r="C266" s="12" t="s">
        <v>65</v>
      </c>
      <c r="D266" s="12">
        <v>1</v>
      </c>
      <c r="E266" s="17">
        <v>107</v>
      </c>
      <c r="F266" s="12">
        <v>107</v>
      </c>
      <c r="G266" s="12" t="s">
        <v>15</v>
      </c>
    </row>
    <row r="267" spans="1:7" x14ac:dyDescent="0.3">
      <c r="A267" s="12" t="s">
        <v>844</v>
      </c>
      <c r="B267" s="12" t="s">
        <v>845</v>
      </c>
      <c r="C267" s="12" t="s">
        <v>65</v>
      </c>
      <c r="D267" s="12">
        <v>3</v>
      </c>
      <c r="E267" s="17">
        <v>262</v>
      </c>
      <c r="F267" s="12">
        <v>786</v>
      </c>
      <c r="G267" s="12" t="s">
        <v>7</v>
      </c>
    </row>
    <row r="268" spans="1:7" x14ac:dyDescent="0.3">
      <c r="A268" s="12" t="s">
        <v>98</v>
      </c>
      <c r="B268" s="12" t="s">
        <v>388</v>
      </c>
      <c r="C268" s="12" t="s">
        <v>68</v>
      </c>
      <c r="D268" s="12">
        <v>6</v>
      </c>
      <c r="E268" s="17">
        <v>177</v>
      </c>
      <c r="F268" s="12">
        <v>1062</v>
      </c>
      <c r="G268" s="12" t="s">
        <v>11</v>
      </c>
    </row>
    <row r="269" spans="1:7" x14ac:dyDescent="0.3">
      <c r="A269" s="12" t="s">
        <v>98</v>
      </c>
      <c r="B269" s="12" t="s">
        <v>1208</v>
      </c>
      <c r="C269" s="12" t="s">
        <v>18</v>
      </c>
      <c r="D269" s="12">
        <v>2</v>
      </c>
      <c r="E269" s="17">
        <v>834</v>
      </c>
      <c r="F269" s="12">
        <v>1668</v>
      </c>
      <c r="G269" s="12" t="s">
        <v>15</v>
      </c>
    </row>
    <row r="270" spans="1:7" x14ac:dyDescent="0.3">
      <c r="A270" s="12" t="s">
        <v>98</v>
      </c>
      <c r="B270" s="12" t="s">
        <v>1172</v>
      </c>
      <c r="C270" s="12" t="s">
        <v>68</v>
      </c>
      <c r="D270" s="12">
        <v>5</v>
      </c>
      <c r="E270" s="17">
        <v>622</v>
      </c>
      <c r="F270" s="12">
        <v>3110</v>
      </c>
      <c r="G270" s="12" t="s">
        <v>15</v>
      </c>
    </row>
    <row r="271" spans="1:7" x14ac:dyDescent="0.3">
      <c r="A271" s="12" t="s">
        <v>61</v>
      </c>
      <c r="B271" s="12" t="s">
        <v>558</v>
      </c>
      <c r="C271" s="12" t="s">
        <v>68</v>
      </c>
      <c r="D271" s="12">
        <v>3</v>
      </c>
      <c r="E271" s="17">
        <v>244</v>
      </c>
      <c r="F271" s="12">
        <v>732</v>
      </c>
      <c r="G271" s="12" t="s">
        <v>27</v>
      </c>
    </row>
    <row r="272" spans="1:7" x14ac:dyDescent="0.3">
      <c r="A272" s="12" t="s">
        <v>61</v>
      </c>
      <c r="B272" s="12" t="s">
        <v>367</v>
      </c>
      <c r="C272" s="12" t="s">
        <v>18</v>
      </c>
      <c r="D272" s="12">
        <v>3</v>
      </c>
      <c r="E272" s="17">
        <v>402</v>
      </c>
      <c r="F272" s="12">
        <v>1206</v>
      </c>
      <c r="G272" s="12" t="s">
        <v>15</v>
      </c>
    </row>
    <row r="273" spans="1:7" x14ac:dyDescent="0.3">
      <c r="A273" s="12" t="s">
        <v>322</v>
      </c>
      <c r="B273" s="12" t="s">
        <v>618</v>
      </c>
      <c r="C273" s="12" t="s">
        <v>68</v>
      </c>
      <c r="D273" s="12">
        <v>2</v>
      </c>
      <c r="E273" s="17">
        <v>96</v>
      </c>
      <c r="F273" s="12">
        <v>192</v>
      </c>
      <c r="G273" s="12" t="s">
        <v>7</v>
      </c>
    </row>
    <row r="274" spans="1:7" x14ac:dyDescent="0.3">
      <c r="A274" s="12" t="s">
        <v>322</v>
      </c>
      <c r="B274" s="12" t="s">
        <v>1085</v>
      </c>
      <c r="C274" s="12" t="s">
        <v>79</v>
      </c>
      <c r="D274" s="12">
        <v>6</v>
      </c>
      <c r="E274" s="17">
        <v>770</v>
      </c>
      <c r="F274" s="12">
        <v>4620</v>
      </c>
      <c r="G274" s="12" t="s">
        <v>7</v>
      </c>
    </row>
    <row r="275" spans="1:7" x14ac:dyDescent="0.3">
      <c r="A275" s="12" t="s">
        <v>930</v>
      </c>
      <c r="B275" s="12" t="s">
        <v>931</v>
      </c>
      <c r="C275" s="12" t="s">
        <v>65</v>
      </c>
      <c r="D275" s="12">
        <v>2</v>
      </c>
      <c r="E275" s="17">
        <v>949</v>
      </c>
      <c r="F275" s="12">
        <v>1898</v>
      </c>
      <c r="G275" s="12" t="s">
        <v>15</v>
      </c>
    </row>
    <row r="276" spans="1:7" x14ac:dyDescent="0.3">
      <c r="A276" s="12" t="s">
        <v>274</v>
      </c>
      <c r="B276" s="12" t="s">
        <v>1231</v>
      </c>
      <c r="C276" s="12" t="s">
        <v>10</v>
      </c>
      <c r="D276" s="12">
        <v>3</v>
      </c>
      <c r="E276" s="17">
        <v>171</v>
      </c>
      <c r="F276" s="12">
        <v>513</v>
      </c>
      <c r="G276" s="12" t="s">
        <v>11</v>
      </c>
    </row>
    <row r="277" spans="1:7" x14ac:dyDescent="0.3">
      <c r="A277" s="12" t="s">
        <v>274</v>
      </c>
      <c r="B277" s="12" t="s">
        <v>275</v>
      </c>
      <c r="C277" s="12" t="s">
        <v>24</v>
      </c>
      <c r="D277" s="12">
        <v>4</v>
      </c>
      <c r="E277" s="17">
        <v>613</v>
      </c>
      <c r="F277" s="12">
        <v>2452</v>
      </c>
      <c r="G277" s="12" t="s">
        <v>19</v>
      </c>
    </row>
    <row r="278" spans="1:7" x14ac:dyDescent="0.3">
      <c r="A278" s="12" t="s">
        <v>326</v>
      </c>
      <c r="B278" s="12" t="s">
        <v>1194</v>
      </c>
      <c r="C278" s="12" t="s">
        <v>18</v>
      </c>
      <c r="D278" s="12">
        <v>2</v>
      </c>
      <c r="E278" s="17">
        <v>604</v>
      </c>
      <c r="F278" s="12">
        <v>1208</v>
      </c>
      <c r="G278" s="12" t="s">
        <v>19</v>
      </c>
    </row>
    <row r="279" spans="1:7" x14ac:dyDescent="0.3">
      <c r="A279" s="12" t="s">
        <v>326</v>
      </c>
      <c r="B279" s="12" t="s">
        <v>459</v>
      </c>
      <c r="C279" s="12" t="s">
        <v>14</v>
      </c>
      <c r="D279" s="12">
        <v>4</v>
      </c>
      <c r="E279" s="17">
        <v>640</v>
      </c>
      <c r="F279" s="12">
        <v>2560</v>
      </c>
      <c r="G279" s="12" t="s">
        <v>19</v>
      </c>
    </row>
    <row r="280" spans="1:7" x14ac:dyDescent="0.3">
      <c r="A280" s="12" t="s">
        <v>43</v>
      </c>
      <c r="B280" s="12" t="s">
        <v>80</v>
      </c>
      <c r="C280" s="12" t="s">
        <v>14</v>
      </c>
      <c r="D280" s="12">
        <v>4</v>
      </c>
      <c r="E280" s="17">
        <v>385</v>
      </c>
      <c r="F280" s="12">
        <v>1540</v>
      </c>
      <c r="G280" s="12" t="s">
        <v>33</v>
      </c>
    </row>
    <row r="281" spans="1:7" x14ac:dyDescent="0.3">
      <c r="A281" s="12" t="s">
        <v>43</v>
      </c>
      <c r="B281" s="12" t="s">
        <v>46</v>
      </c>
      <c r="C281" s="12" t="s">
        <v>18</v>
      </c>
      <c r="D281" s="12">
        <v>5</v>
      </c>
      <c r="E281" s="17">
        <v>866</v>
      </c>
      <c r="F281" s="12">
        <v>4330</v>
      </c>
      <c r="G281" s="12" t="s">
        <v>33</v>
      </c>
    </row>
    <row r="282" spans="1:7" x14ac:dyDescent="0.3">
      <c r="A282" s="12" t="s">
        <v>499</v>
      </c>
      <c r="B282" s="12" t="s">
        <v>1183</v>
      </c>
      <c r="C282" s="12" t="s">
        <v>6</v>
      </c>
      <c r="D282" s="12">
        <v>1</v>
      </c>
      <c r="E282" s="17">
        <v>53</v>
      </c>
      <c r="F282" s="12">
        <v>53</v>
      </c>
      <c r="G282" s="12" t="s">
        <v>11</v>
      </c>
    </row>
    <row r="283" spans="1:7" x14ac:dyDescent="0.3">
      <c r="A283" s="12" t="s">
        <v>499</v>
      </c>
      <c r="B283" s="12" t="s">
        <v>500</v>
      </c>
      <c r="C283" s="12" t="s">
        <v>6</v>
      </c>
      <c r="D283" s="12">
        <v>3</v>
      </c>
      <c r="E283" s="17">
        <v>545</v>
      </c>
      <c r="F283" s="12">
        <v>1635</v>
      </c>
      <c r="G283" s="12" t="s">
        <v>11</v>
      </c>
    </row>
    <row r="284" spans="1:7" x14ac:dyDescent="0.3">
      <c r="A284" s="12" t="s">
        <v>162</v>
      </c>
      <c r="B284" s="12" t="s">
        <v>950</v>
      </c>
      <c r="C284" s="12" t="s">
        <v>18</v>
      </c>
      <c r="D284" s="12">
        <v>5</v>
      </c>
      <c r="E284" s="17">
        <v>287</v>
      </c>
      <c r="F284" s="12">
        <v>1435</v>
      </c>
      <c r="G284" s="12" t="s">
        <v>15</v>
      </c>
    </row>
    <row r="285" spans="1:7" x14ac:dyDescent="0.3">
      <c r="A285" s="12" t="s">
        <v>162</v>
      </c>
      <c r="B285" s="12" t="s">
        <v>485</v>
      </c>
      <c r="C285" s="12" t="s">
        <v>30</v>
      </c>
      <c r="D285" s="12">
        <v>6</v>
      </c>
      <c r="E285" s="17">
        <v>874</v>
      </c>
      <c r="F285" s="12">
        <v>5244</v>
      </c>
      <c r="G285" s="12" t="s">
        <v>33</v>
      </c>
    </row>
    <row r="286" spans="1:7" x14ac:dyDescent="0.3">
      <c r="A286" s="12" t="s">
        <v>351</v>
      </c>
      <c r="B286" s="12" t="s">
        <v>353</v>
      </c>
      <c r="C286" s="12" t="s">
        <v>65</v>
      </c>
      <c r="D286" s="12">
        <v>2</v>
      </c>
      <c r="E286" s="17">
        <v>638</v>
      </c>
      <c r="F286" s="12">
        <v>1276</v>
      </c>
      <c r="G286" s="12" t="s">
        <v>33</v>
      </c>
    </row>
    <row r="287" spans="1:7" x14ac:dyDescent="0.3">
      <c r="A287" s="12" t="s">
        <v>351</v>
      </c>
      <c r="B287" s="12" t="s">
        <v>704</v>
      </c>
      <c r="C287" s="12" t="s">
        <v>79</v>
      </c>
      <c r="D287" s="12">
        <v>4</v>
      </c>
      <c r="E287" s="17">
        <v>898</v>
      </c>
      <c r="F287" s="12">
        <v>3592</v>
      </c>
      <c r="G287" s="12" t="s">
        <v>27</v>
      </c>
    </row>
    <row r="288" spans="1:7" x14ac:dyDescent="0.3">
      <c r="A288" s="12" t="s">
        <v>351</v>
      </c>
      <c r="B288" s="12" t="s">
        <v>352</v>
      </c>
      <c r="C288" s="12" t="s">
        <v>65</v>
      </c>
      <c r="D288" s="12">
        <v>6</v>
      </c>
      <c r="E288" s="17">
        <v>893</v>
      </c>
      <c r="F288" s="12">
        <v>5358</v>
      </c>
      <c r="G288" s="12" t="s">
        <v>7</v>
      </c>
    </row>
    <row r="289" spans="1:7" x14ac:dyDescent="0.3">
      <c r="A289" s="12" t="s">
        <v>547</v>
      </c>
      <c r="B289" s="12" t="s">
        <v>548</v>
      </c>
      <c r="C289" s="12" t="s">
        <v>6</v>
      </c>
      <c r="D289" s="12">
        <v>1</v>
      </c>
      <c r="E289" s="17">
        <v>936</v>
      </c>
      <c r="F289" s="12">
        <v>936</v>
      </c>
      <c r="G289" s="12" t="s">
        <v>19</v>
      </c>
    </row>
    <row r="290" spans="1:7" x14ac:dyDescent="0.3">
      <c r="A290" s="12" t="s">
        <v>1254</v>
      </c>
      <c r="B290" s="12" t="s">
        <v>1255</v>
      </c>
      <c r="C290" s="12" t="s">
        <v>65</v>
      </c>
      <c r="D290" s="12">
        <v>3</v>
      </c>
      <c r="E290" s="17">
        <v>303</v>
      </c>
      <c r="F290" s="12">
        <v>909</v>
      </c>
      <c r="G290" s="12" t="s">
        <v>33</v>
      </c>
    </row>
    <row r="291" spans="1:7" x14ac:dyDescent="0.3">
      <c r="A291" s="12" t="s">
        <v>754</v>
      </c>
      <c r="B291" s="12" t="s">
        <v>755</v>
      </c>
      <c r="C291" s="12" t="s">
        <v>10</v>
      </c>
      <c r="D291" s="12">
        <v>3</v>
      </c>
      <c r="E291" s="17">
        <v>788</v>
      </c>
      <c r="F291" s="12">
        <v>2364</v>
      </c>
      <c r="G291" s="12" t="s">
        <v>7</v>
      </c>
    </row>
    <row r="292" spans="1:7" x14ac:dyDescent="0.3">
      <c r="A292" s="12" t="s">
        <v>57</v>
      </c>
      <c r="B292" s="12" t="s">
        <v>58</v>
      </c>
      <c r="C292" s="12" t="s">
        <v>30</v>
      </c>
      <c r="D292" s="12">
        <v>5</v>
      </c>
      <c r="E292" s="17">
        <v>130</v>
      </c>
      <c r="F292" s="12">
        <v>650</v>
      </c>
      <c r="G292" s="12" t="s">
        <v>19</v>
      </c>
    </row>
    <row r="293" spans="1:7" x14ac:dyDescent="0.3">
      <c r="A293" s="12" t="s">
        <v>57</v>
      </c>
      <c r="B293" s="12" t="s">
        <v>1109</v>
      </c>
      <c r="C293" s="12" t="s">
        <v>14</v>
      </c>
      <c r="D293" s="12">
        <v>5</v>
      </c>
      <c r="E293" s="17">
        <v>984</v>
      </c>
      <c r="F293" s="12">
        <v>4920</v>
      </c>
      <c r="G293" s="12" t="s">
        <v>33</v>
      </c>
    </row>
    <row r="294" spans="1:7" x14ac:dyDescent="0.3">
      <c r="A294" s="12" t="s">
        <v>232</v>
      </c>
      <c r="B294" s="12" t="s">
        <v>1134</v>
      </c>
      <c r="C294" s="12" t="s">
        <v>10</v>
      </c>
      <c r="D294" s="12">
        <v>2</v>
      </c>
      <c r="E294" s="17">
        <v>164</v>
      </c>
      <c r="F294" s="12">
        <v>328</v>
      </c>
      <c r="G294" s="12" t="s">
        <v>19</v>
      </c>
    </row>
    <row r="295" spans="1:7" x14ac:dyDescent="0.3">
      <c r="A295" s="12" t="s">
        <v>232</v>
      </c>
      <c r="B295" s="12" t="s">
        <v>1235</v>
      </c>
      <c r="C295" s="12" t="s">
        <v>14</v>
      </c>
      <c r="D295" s="12">
        <v>1</v>
      </c>
      <c r="E295" s="17">
        <v>591</v>
      </c>
      <c r="F295" s="12">
        <v>591</v>
      </c>
      <c r="G295" s="12" t="s">
        <v>27</v>
      </c>
    </row>
    <row r="296" spans="1:7" x14ac:dyDescent="0.3">
      <c r="A296" s="12" t="s">
        <v>232</v>
      </c>
      <c r="B296" s="12" t="s">
        <v>846</v>
      </c>
      <c r="C296" s="12" t="s">
        <v>65</v>
      </c>
      <c r="D296" s="12">
        <v>3</v>
      </c>
      <c r="E296" s="17">
        <v>756</v>
      </c>
      <c r="F296" s="12">
        <v>2268</v>
      </c>
      <c r="G296" s="12" t="s">
        <v>15</v>
      </c>
    </row>
    <row r="297" spans="1:7" x14ac:dyDescent="0.3">
      <c r="A297" s="12" t="s">
        <v>279</v>
      </c>
      <c r="B297" s="12" t="s">
        <v>537</v>
      </c>
      <c r="C297" s="12" t="s">
        <v>6</v>
      </c>
      <c r="D297" s="12">
        <v>5</v>
      </c>
      <c r="E297" s="17">
        <v>149</v>
      </c>
      <c r="F297" s="12">
        <v>745</v>
      </c>
      <c r="G297" s="12" t="s">
        <v>15</v>
      </c>
    </row>
    <row r="298" spans="1:7" x14ac:dyDescent="0.3">
      <c r="A298" s="12" t="s">
        <v>279</v>
      </c>
      <c r="B298" s="12" t="s">
        <v>280</v>
      </c>
      <c r="C298" s="12" t="s">
        <v>14</v>
      </c>
      <c r="D298" s="12">
        <v>4</v>
      </c>
      <c r="E298" s="17">
        <v>962</v>
      </c>
      <c r="F298" s="12">
        <v>3848</v>
      </c>
      <c r="G298" s="12" t="s">
        <v>15</v>
      </c>
    </row>
    <row r="299" spans="1:7" x14ac:dyDescent="0.3">
      <c r="A299" s="12" t="s">
        <v>140</v>
      </c>
      <c r="B299" s="12" t="s">
        <v>885</v>
      </c>
      <c r="C299" s="12" t="s">
        <v>14</v>
      </c>
      <c r="D299" s="12">
        <v>4</v>
      </c>
      <c r="E299" s="17">
        <v>269</v>
      </c>
      <c r="F299" s="12">
        <v>1076</v>
      </c>
      <c r="G299" s="12" t="s">
        <v>19</v>
      </c>
    </row>
    <row r="300" spans="1:7" x14ac:dyDescent="0.3">
      <c r="A300" s="12" t="s">
        <v>493</v>
      </c>
      <c r="B300" s="12" t="s">
        <v>494</v>
      </c>
      <c r="C300" s="12" t="s">
        <v>68</v>
      </c>
      <c r="D300" s="12">
        <v>6</v>
      </c>
      <c r="E300" s="17">
        <v>111</v>
      </c>
      <c r="F300" s="12">
        <v>666</v>
      </c>
      <c r="G300" s="12" t="s">
        <v>15</v>
      </c>
    </row>
    <row r="301" spans="1:7" x14ac:dyDescent="0.3">
      <c r="A301" s="12" t="s">
        <v>493</v>
      </c>
      <c r="B301" s="12" t="s">
        <v>809</v>
      </c>
      <c r="C301" s="12" t="s">
        <v>38</v>
      </c>
      <c r="D301" s="12">
        <v>4</v>
      </c>
      <c r="E301" s="17">
        <v>371</v>
      </c>
      <c r="F301" s="12">
        <v>1484</v>
      </c>
      <c r="G301" s="12" t="s">
        <v>19</v>
      </c>
    </row>
    <row r="302" spans="1:7" x14ac:dyDescent="0.3">
      <c r="A302" s="12" t="s">
        <v>635</v>
      </c>
      <c r="B302" s="12" t="s">
        <v>1043</v>
      </c>
      <c r="C302" s="12" t="s">
        <v>14</v>
      </c>
      <c r="D302" s="12">
        <v>1</v>
      </c>
      <c r="E302" s="17">
        <v>193</v>
      </c>
      <c r="F302" s="12">
        <v>193</v>
      </c>
      <c r="G302" s="12" t="s">
        <v>11</v>
      </c>
    </row>
    <row r="303" spans="1:7" x14ac:dyDescent="0.3">
      <c r="A303" s="12" t="s">
        <v>146</v>
      </c>
      <c r="B303" s="12" t="s">
        <v>147</v>
      </c>
      <c r="C303" s="12" t="s">
        <v>24</v>
      </c>
      <c r="D303" s="12">
        <v>6</v>
      </c>
      <c r="E303" s="17">
        <v>196</v>
      </c>
      <c r="F303" s="12">
        <v>1176</v>
      </c>
      <c r="G303" s="12" t="s">
        <v>33</v>
      </c>
    </row>
    <row r="304" spans="1:7" x14ac:dyDescent="0.3">
      <c r="A304" s="12" t="s">
        <v>963</v>
      </c>
      <c r="B304" s="12" t="s">
        <v>964</v>
      </c>
      <c r="C304" s="12" t="s">
        <v>14</v>
      </c>
      <c r="D304" s="12">
        <v>4</v>
      </c>
      <c r="E304" s="17">
        <v>907</v>
      </c>
      <c r="F304" s="12">
        <v>3628</v>
      </c>
      <c r="G304" s="12" t="s">
        <v>33</v>
      </c>
    </row>
    <row r="305" spans="1:7" x14ac:dyDescent="0.3">
      <c r="A305" s="12" t="s">
        <v>414</v>
      </c>
      <c r="B305" s="12" t="s">
        <v>415</v>
      </c>
      <c r="C305" s="12" t="s">
        <v>18</v>
      </c>
      <c r="D305" s="12">
        <v>1</v>
      </c>
      <c r="E305" s="17">
        <v>178</v>
      </c>
      <c r="F305" s="12">
        <v>178</v>
      </c>
      <c r="G305" s="12" t="s">
        <v>27</v>
      </c>
    </row>
    <row r="306" spans="1:7" x14ac:dyDescent="0.3">
      <c r="A306" s="12" t="s">
        <v>434</v>
      </c>
      <c r="B306" s="12" t="s">
        <v>531</v>
      </c>
      <c r="C306" s="12" t="s">
        <v>6</v>
      </c>
      <c r="D306" s="12">
        <v>2</v>
      </c>
      <c r="E306" s="17">
        <v>323</v>
      </c>
      <c r="F306" s="12">
        <v>646</v>
      </c>
      <c r="G306" s="12" t="s">
        <v>33</v>
      </c>
    </row>
    <row r="307" spans="1:7" x14ac:dyDescent="0.3">
      <c r="A307" s="12" t="s">
        <v>823</v>
      </c>
      <c r="B307" s="12" t="s">
        <v>1291</v>
      </c>
      <c r="C307" s="12" t="s">
        <v>65</v>
      </c>
      <c r="D307" s="12">
        <v>6</v>
      </c>
      <c r="E307" s="17">
        <v>461</v>
      </c>
      <c r="F307" s="12">
        <v>2766</v>
      </c>
      <c r="G307" s="12" t="s">
        <v>33</v>
      </c>
    </row>
    <row r="308" spans="1:7" x14ac:dyDescent="0.3">
      <c r="A308" s="12" t="s">
        <v>823</v>
      </c>
      <c r="B308" s="12" t="s">
        <v>824</v>
      </c>
      <c r="C308" s="12" t="s">
        <v>30</v>
      </c>
      <c r="D308" s="12">
        <v>6</v>
      </c>
      <c r="E308" s="17">
        <v>747</v>
      </c>
      <c r="F308" s="12">
        <v>4482</v>
      </c>
      <c r="G308" s="12" t="s">
        <v>11</v>
      </c>
    </row>
    <row r="309" spans="1:7" x14ac:dyDescent="0.3">
      <c r="A309" s="12" t="s">
        <v>629</v>
      </c>
      <c r="B309" s="12" t="s">
        <v>946</v>
      </c>
      <c r="C309" s="12" t="s">
        <v>6</v>
      </c>
      <c r="D309" s="12">
        <v>5</v>
      </c>
      <c r="E309" s="17">
        <v>141</v>
      </c>
      <c r="F309" s="12">
        <v>705</v>
      </c>
      <c r="G309" s="12" t="s">
        <v>19</v>
      </c>
    </row>
    <row r="310" spans="1:7" x14ac:dyDescent="0.3">
      <c r="A310" s="12" t="s">
        <v>259</v>
      </c>
      <c r="B310" s="12" t="s">
        <v>519</v>
      </c>
      <c r="C310" s="12" t="s">
        <v>18</v>
      </c>
      <c r="D310" s="12">
        <v>1</v>
      </c>
      <c r="E310" s="17">
        <v>183</v>
      </c>
      <c r="F310" s="12">
        <v>183</v>
      </c>
      <c r="G310" s="12" t="s">
        <v>11</v>
      </c>
    </row>
    <row r="311" spans="1:7" x14ac:dyDescent="0.3">
      <c r="A311" s="12" t="s">
        <v>259</v>
      </c>
      <c r="B311" s="12" t="s">
        <v>260</v>
      </c>
      <c r="C311" s="12" t="s">
        <v>14</v>
      </c>
      <c r="D311" s="12">
        <v>5</v>
      </c>
      <c r="E311" s="17">
        <v>505</v>
      </c>
      <c r="F311" s="12">
        <v>2525</v>
      </c>
      <c r="G311" s="12" t="s">
        <v>11</v>
      </c>
    </row>
    <row r="312" spans="1:7" x14ac:dyDescent="0.3">
      <c r="A312" s="12" t="s">
        <v>880</v>
      </c>
      <c r="B312" s="12" t="s">
        <v>1189</v>
      </c>
      <c r="C312" s="12" t="s">
        <v>65</v>
      </c>
      <c r="D312" s="12">
        <v>1</v>
      </c>
      <c r="E312" s="17">
        <v>483</v>
      </c>
      <c r="F312" s="12">
        <v>483</v>
      </c>
      <c r="G312" s="12" t="s">
        <v>11</v>
      </c>
    </row>
    <row r="313" spans="1:7" x14ac:dyDescent="0.3">
      <c r="A313" s="12" t="s">
        <v>880</v>
      </c>
      <c r="B313" s="12" t="s">
        <v>881</v>
      </c>
      <c r="C313" s="12" t="s">
        <v>38</v>
      </c>
      <c r="D313" s="12">
        <v>6</v>
      </c>
      <c r="E313" s="17">
        <v>721</v>
      </c>
      <c r="F313" s="12">
        <v>4326</v>
      </c>
      <c r="G313" s="12" t="s">
        <v>19</v>
      </c>
    </row>
    <row r="314" spans="1:7" x14ac:dyDescent="0.3">
      <c r="A314" s="12" t="s">
        <v>668</v>
      </c>
      <c r="B314" s="12" t="s">
        <v>961</v>
      </c>
      <c r="C314" s="12" t="s">
        <v>68</v>
      </c>
      <c r="D314" s="12">
        <v>1</v>
      </c>
      <c r="E314" s="17">
        <v>477</v>
      </c>
      <c r="F314" s="12">
        <v>477</v>
      </c>
      <c r="G314" s="12" t="s">
        <v>15</v>
      </c>
    </row>
    <row r="315" spans="1:7" x14ac:dyDescent="0.3">
      <c r="A315" s="12" t="s">
        <v>668</v>
      </c>
      <c r="B315" s="12" t="s">
        <v>962</v>
      </c>
      <c r="C315" s="12" t="s">
        <v>65</v>
      </c>
      <c r="D315" s="12">
        <v>4</v>
      </c>
      <c r="E315" s="17">
        <v>953</v>
      </c>
      <c r="F315" s="12">
        <v>3812</v>
      </c>
      <c r="G315" s="12" t="s">
        <v>19</v>
      </c>
    </row>
    <row r="316" spans="1:7" x14ac:dyDescent="0.3">
      <c r="A316" s="12" t="s">
        <v>1073</v>
      </c>
      <c r="B316" s="12" t="s">
        <v>1074</v>
      </c>
      <c r="C316" s="12" t="s">
        <v>79</v>
      </c>
      <c r="D316" s="12">
        <v>5</v>
      </c>
      <c r="E316" s="17">
        <v>364</v>
      </c>
      <c r="F316" s="12">
        <v>1820</v>
      </c>
      <c r="G316" s="12" t="s">
        <v>7</v>
      </c>
    </row>
    <row r="317" spans="1:7" x14ac:dyDescent="0.3">
      <c r="A317" s="12" t="s">
        <v>670</v>
      </c>
      <c r="B317" s="12" t="s">
        <v>1293</v>
      </c>
      <c r="C317" s="12" t="s">
        <v>18</v>
      </c>
      <c r="D317" s="12">
        <v>6</v>
      </c>
      <c r="E317" s="17">
        <v>289</v>
      </c>
      <c r="F317" s="12">
        <v>1734</v>
      </c>
      <c r="G317" s="12" t="s">
        <v>27</v>
      </c>
    </row>
    <row r="318" spans="1:7" x14ac:dyDescent="0.3">
      <c r="A318" s="12" t="s">
        <v>647</v>
      </c>
      <c r="B318" s="12" t="s">
        <v>779</v>
      </c>
      <c r="C318" s="12" t="s">
        <v>6</v>
      </c>
      <c r="D318" s="12">
        <v>4</v>
      </c>
      <c r="E318" s="17">
        <v>757</v>
      </c>
      <c r="F318" s="12">
        <v>3028</v>
      </c>
      <c r="G318" s="12" t="s">
        <v>11</v>
      </c>
    </row>
    <row r="319" spans="1:7" x14ac:dyDescent="0.3">
      <c r="A319" s="12" t="s">
        <v>647</v>
      </c>
      <c r="B319" s="12" t="s">
        <v>1069</v>
      </c>
      <c r="C319" s="12" t="s">
        <v>18</v>
      </c>
      <c r="D319" s="12">
        <v>6</v>
      </c>
      <c r="E319" s="17">
        <v>733</v>
      </c>
      <c r="F319" s="12">
        <v>4398</v>
      </c>
      <c r="G319" s="12" t="s">
        <v>27</v>
      </c>
    </row>
    <row r="320" spans="1:7" x14ac:dyDescent="0.3">
      <c r="A320" s="12" t="s">
        <v>93</v>
      </c>
      <c r="B320" s="12" t="s">
        <v>288</v>
      </c>
      <c r="C320" s="12" t="s">
        <v>24</v>
      </c>
      <c r="D320" s="12">
        <v>6</v>
      </c>
      <c r="E320" s="17">
        <v>776</v>
      </c>
      <c r="F320" s="12">
        <v>4656</v>
      </c>
      <c r="G320" s="12" t="s">
        <v>27</v>
      </c>
    </row>
    <row r="321" spans="1:7" x14ac:dyDescent="0.3">
      <c r="A321" s="12" t="s">
        <v>906</v>
      </c>
      <c r="B321" s="12" t="s">
        <v>907</v>
      </c>
      <c r="C321" s="12" t="s">
        <v>24</v>
      </c>
      <c r="D321" s="12">
        <v>3</v>
      </c>
      <c r="E321" s="17">
        <v>593</v>
      </c>
      <c r="F321" s="12">
        <v>1779</v>
      </c>
      <c r="G321" s="12" t="s">
        <v>11</v>
      </c>
    </row>
    <row r="322" spans="1:7" x14ac:dyDescent="0.3">
      <c r="A322" s="12" t="s">
        <v>202</v>
      </c>
      <c r="B322" s="12" t="s">
        <v>203</v>
      </c>
      <c r="C322" s="12" t="s">
        <v>24</v>
      </c>
      <c r="D322" s="12">
        <v>2</v>
      </c>
      <c r="E322" s="17">
        <v>715</v>
      </c>
      <c r="F322" s="12">
        <v>1430</v>
      </c>
      <c r="G322" s="12" t="s">
        <v>33</v>
      </c>
    </row>
    <row r="323" spans="1:7" x14ac:dyDescent="0.3">
      <c r="A323" s="12" t="s">
        <v>202</v>
      </c>
      <c r="B323" s="12" t="s">
        <v>1034</v>
      </c>
      <c r="C323" s="12" t="s">
        <v>79</v>
      </c>
      <c r="D323" s="12">
        <v>6</v>
      </c>
      <c r="E323" s="17">
        <v>487</v>
      </c>
      <c r="F323" s="12">
        <v>2922</v>
      </c>
      <c r="G323" s="12" t="s">
        <v>19</v>
      </c>
    </row>
    <row r="324" spans="1:7" x14ac:dyDescent="0.3">
      <c r="A324" s="12" t="s">
        <v>36</v>
      </c>
      <c r="B324" s="12" t="s">
        <v>37</v>
      </c>
      <c r="C324" s="12" t="s">
        <v>38</v>
      </c>
      <c r="D324" s="12">
        <v>4</v>
      </c>
      <c r="E324" s="17">
        <v>758</v>
      </c>
      <c r="F324" s="12">
        <v>3032</v>
      </c>
      <c r="G324" s="12" t="s">
        <v>15</v>
      </c>
    </row>
    <row r="325" spans="1:7" x14ac:dyDescent="0.3">
      <c r="A325" s="12" t="s">
        <v>168</v>
      </c>
      <c r="B325" s="12" t="s">
        <v>169</v>
      </c>
      <c r="C325" s="12" t="s">
        <v>14</v>
      </c>
      <c r="D325" s="12">
        <v>1</v>
      </c>
      <c r="E325" s="17">
        <v>420</v>
      </c>
      <c r="F325" s="12">
        <v>420</v>
      </c>
      <c r="G325" s="12" t="s">
        <v>7</v>
      </c>
    </row>
    <row r="326" spans="1:7" x14ac:dyDescent="0.3">
      <c r="A326" s="12" t="s">
        <v>168</v>
      </c>
      <c r="B326" s="12" t="s">
        <v>841</v>
      </c>
      <c r="C326" s="12" t="s">
        <v>14</v>
      </c>
      <c r="D326" s="12">
        <v>3</v>
      </c>
      <c r="E326" s="17">
        <v>839</v>
      </c>
      <c r="F326" s="12">
        <v>2517</v>
      </c>
      <c r="G326" s="12" t="s">
        <v>7</v>
      </c>
    </row>
    <row r="327" spans="1:7" x14ac:dyDescent="0.3">
      <c r="A327" s="12" t="s">
        <v>1166</v>
      </c>
      <c r="B327" s="12" t="s">
        <v>1167</v>
      </c>
      <c r="C327" s="12" t="s">
        <v>68</v>
      </c>
      <c r="D327" s="12">
        <v>4</v>
      </c>
      <c r="E327" s="17">
        <v>575</v>
      </c>
      <c r="F327" s="12">
        <v>2300</v>
      </c>
      <c r="G327" s="12" t="s">
        <v>19</v>
      </c>
    </row>
    <row r="328" spans="1:7" x14ac:dyDescent="0.3">
      <c r="A328" s="12" t="s">
        <v>416</v>
      </c>
      <c r="B328" s="12" t="s">
        <v>1047</v>
      </c>
      <c r="C328" s="12" t="s">
        <v>14</v>
      </c>
      <c r="D328" s="12">
        <v>3</v>
      </c>
      <c r="E328" s="17">
        <v>56</v>
      </c>
      <c r="F328" s="12">
        <v>168</v>
      </c>
      <c r="G328" s="12" t="s">
        <v>11</v>
      </c>
    </row>
    <row r="329" spans="1:7" x14ac:dyDescent="0.3">
      <c r="A329" s="12" t="s">
        <v>262</v>
      </c>
      <c r="B329" s="12" t="s">
        <v>914</v>
      </c>
      <c r="C329" s="12" t="s">
        <v>68</v>
      </c>
      <c r="D329" s="12">
        <v>2</v>
      </c>
      <c r="E329" s="17">
        <v>152</v>
      </c>
      <c r="F329" s="12">
        <v>304</v>
      </c>
      <c r="G329" s="12" t="s">
        <v>11</v>
      </c>
    </row>
    <row r="330" spans="1:7" x14ac:dyDescent="0.3">
      <c r="A330" s="12" t="s">
        <v>262</v>
      </c>
      <c r="B330" s="12" t="s">
        <v>915</v>
      </c>
      <c r="C330" s="12" t="s">
        <v>68</v>
      </c>
      <c r="D330" s="12">
        <v>1</v>
      </c>
      <c r="E330" s="17">
        <v>473</v>
      </c>
      <c r="F330" s="12">
        <v>473</v>
      </c>
      <c r="G330" s="12" t="s">
        <v>7</v>
      </c>
    </row>
    <row r="331" spans="1:7" x14ac:dyDescent="0.3">
      <c r="A331" s="12" t="s">
        <v>262</v>
      </c>
      <c r="B331" s="12" t="s">
        <v>498</v>
      </c>
      <c r="C331" s="12" t="s">
        <v>38</v>
      </c>
      <c r="D331" s="12">
        <v>6</v>
      </c>
      <c r="E331" s="17">
        <v>475</v>
      </c>
      <c r="F331" s="12">
        <v>2850</v>
      </c>
      <c r="G331" s="12" t="s">
        <v>27</v>
      </c>
    </row>
    <row r="332" spans="1:7" x14ac:dyDescent="0.3">
      <c r="A332" s="12" t="s">
        <v>262</v>
      </c>
      <c r="B332" s="12" t="s">
        <v>263</v>
      </c>
      <c r="C332" s="12" t="s">
        <v>6</v>
      </c>
      <c r="D332" s="12">
        <v>6</v>
      </c>
      <c r="E332" s="17">
        <v>879</v>
      </c>
      <c r="F332" s="12">
        <v>5274</v>
      </c>
      <c r="G332" s="12" t="s">
        <v>15</v>
      </c>
    </row>
    <row r="333" spans="1:7" x14ac:dyDescent="0.3">
      <c r="A333" s="12" t="s">
        <v>266</v>
      </c>
      <c r="B333" s="12" t="s">
        <v>267</v>
      </c>
      <c r="C333" s="12" t="s">
        <v>24</v>
      </c>
      <c r="D333" s="12">
        <v>3</v>
      </c>
      <c r="E333" s="17">
        <v>377</v>
      </c>
      <c r="F333" s="12">
        <v>1131</v>
      </c>
      <c r="G333" s="12" t="s">
        <v>33</v>
      </c>
    </row>
    <row r="334" spans="1:7" x14ac:dyDescent="0.3">
      <c r="A334" s="12" t="s">
        <v>266</v>
      </c>
      <c r="B334" s="12" t="s">
        <v>1256</v>
      </c>
      <c r="C334" s="12" t="s">
        <v>6</v>
      </c>
      <c r="D334" s="12">
        <v>4</v>
      </c>
      <c r="E334" s="17">
        <v>521</v>
      </c>
      <c r="F334" s="12">
        <v>2084</v>
      </c>
      <c r="G334" s="12" t="s">
        <v>11</v>
      </c>
    </row>
    <row r="335" spans="1:7" x14ac:dyDescent="0.3">
      <c r="A335" s="12" t="s">
        <v>266</v>
      </c>
      <c r="B335" s="12" t="s">
        <v>268</v>
      </c>
      <c r="C335" s="12" t="s">
        <v>65</v>
      </c>
      <c r="D335" s="12">
        <v>4</v>
      </c>
      <c r="E335" s="17">
        <v>733</v>
      </c>
      <c r="F335" s="12">
        <v>2932</v>
      </c>
      <c r="G335" s="12" t="s">
        <v>7</v>
      </c>
    </row>
    <row r="336" spans="1:7" x14ac:dyDescent="0.3">
      <c r="A336" s="12" t="s">
        <v>53</v>
      </c>
      <c r="B336" s="12" t="s">
        <v>155</v>
      </c>
      <c r="C336" s="12" t="s">
        <v>6</v>
      </c>
      <c r="D336" s="12">
        <v>5</v>
      </c>
      <c r="E336" s="17">
        <v>498</v>
      </c>
      <c r="F336" s="12">
        <v>2490</v>
      </c>
      <c r="G336" s="12" t="s">
        <v>27</v>
      </c>
    </row>
    <row r="337" spans="1:7" x14ac:dyDescent="0.3">
      <c r="A337" s="12" t="s">
        <v>1075</v>
      </c>
      <c r="B337" s="12" t="s">
        <v>1076</v>
      </c>
      <c r="C337" s="12" t="s">
        <v>65</v>
      </c>
      <c r="D337" s="12">
        <v>4</v>
      </c>
      <c r="E337" s="17">
        <v>213</v>
      </c>
      <c r="F337" s="12">
        <v>852</v>
      </c>
      <c r="G337" s="12" t="s">
        <v>33</v>
      </c>
    </row>
    <row r="338" spans="1:7" x14ac:dyDescent="0.3">
      <c r="A338" s="12" t="s">
        <v>477</v>
      </c>
      <c r="B338" s="12" t="s">
        <v>520</v>
      </c>
      <c r="C338" s="12" t="s">
        <v>79</v>
      </c>
      <c r="D338" s="12">
        <v>3</v>
      </c>
      <c r="E338" s="17">
        <v>828</v>
      </c>
      <c r="F338" s="12">
        <v>2484</v>
      </c>
      <c r="G338" s="12" t="s">
        <v>11</v>
      </c>
    </row>
    <row r="339" spans="1:7" x14ac:dyDescent="0.3">
      <c r="A339" s="12" t="s">
        <v>947</v>
      </c>
      <c r="B339" s="12" t="s">
        <v>1142</v>
      </c>
      <c r="C339" s="12" t="s">
        <v>6</v>
      </c>
      <c r="D339" s="12">
        <v>5</v>
      </c>
      <c r="E339" s="17">
        <v>636</v>
      </c>
      <c r="F339" s="12">
        <v>3180</v>
      </c>
      <c r="G339" s="12" t="s">
        <v>33</v>
      </c>
    </row>
    <row r="340" spans="1:7" x14ac:dyDescent="0.3">
      <c r="A340" s="12" t="s">
        <v>608</v>
      </c>
      <c r="B340" s="12" t="s">
        <v>867</v>
      </c>
      <c r="C340" s="12" t="s">
        <v>38</v>
      </c>
      <c r="D340" s="12">
        <v>6</v>
      </c>
      <c r="E340" s="17">
        <v>403</v>
      </c>
      <c r="F340" s="12">
        <v>2418</v>
      </c>
      <c r="G340" s="12" t="s">
        <v>27</v>
      </c>
    </row>
    <row r="341" spans="1:7" x14ac:dyDescent="0.3">
      <c r="A341" s="12" t="s">
        <v>357</v>
      </c>
      <c r="B341" s="12" t="s">
        <v>359</v>
      </c>
      <c r="C341" s="12" t="s">
        <v>79</v>
      </c>
      <c r="D341" s="12">
        <v>6</v>
      </c>
      <c r="E341" s="17">
        <v>707</v>
      </c>
      <c r="F341" s="12">
        <v>4242</v>
      </c>
      <c r="G341" s="12" t="s">
        <v>33</v>
      </c>
    </row>
    <row r="342" spans="1:7" x14ac:dyDescent="0.3">
      <c r="A342" s="12" t="s">
        <v>1023</v>
      </c>
      <c r="B342" s="12" t="s">
        <v>1024</v>
      </c>
      <c r="C342" s="12" t="s">
        <v>14</v>
      </c>
      <c r="D342" s="12">
        <v>4</v>
      </c>
      <c r="E342" s="17">
        <v>631</v>
      </c>
      <c r="F342" s="12">
        <v>2524</v>
      </c>
      <c r="G342" s="12" t="s">
        <v>33</v>
      </c>
    </row>
    <row r="343" spans="1:7" x14ac:dyDescent="0.3">
      <c r="A343" s="12" t="s">
        <v>134</v>
      </c>
      <c r="B343" s="12" t="s">
        <v>1288</v>
      </c>
      <c r="C343" s="12" t="s">
        <v>79</v>
      </c>
      <c r="D343" s="12">
        <v>1</v>
      </c>
      <c r="E343" s="17">
        <v>300</v>
      </c>
      <c r="F343" s="12">
        <v>300</v>
      </c>
      <c r="G343" s="12" t="s">
        <v>33</v>
      </c>
    </row>
    <row r="344" spans="1:7" x14ac:dyDescent="0.3">
      <c r="A344" s="12" t="s">
        <v>134</v>
      </c>
      <c r="B344" s="12" t="s">
        <v>135</v>
      </c>
      <c r="C344" s="12" t="s">
        <v>6</v>
      </c>
      <c r="D344" s="12">
        <v>1</v>
      </c>
      <c r="E344" s="17">
        <v>575</v>
      </c>
      <c r="F344" s="12">
        <v>575</v>
      </c>
      <c r="G344" s="12" t="s">
        <v>19</v>
      </c>
    </row>
    <row r="345" spans="1:7" x14ac:dyDescent="0.3">
      <c r="A345" s="12" t="s">
        <v>134</v>
      </c>
      <c r="B345" s="12" t="s">
        <v>993</v>
      </c>
      <c r="C345" s="12" t="s">
        <v>30</v>
      </c>
      <c r="D345" s="12">
        <v>6</v>
      </c>
      <c r="E345" s="17">
        <v>586</v>
      </c>
      <c r="F345" s="12">
        <v>3516</v>
      </c>
      <c r="G345" s="12" t="s">
        <v>15</v>
      </c>
    </row>
    <row r="346" spans="1:7" x14ac:dyDescent="0.3">
      <c r="A346" s="12" t="s">
        <v>153</v>
      </c>
      <c r="B346" s="12" t="s">
        <v>399</v>
      </c>
      <c r="C346" s="12" t="s">
        <v>79</v>
      </c>
      <c r="D346" s="12">
        <v>1</v>
      </c>
      <c r="E346" s="17">
        <v>404</v>
      </c>
      <c r="F346" s="12">
        <v>404</v>
      </c>
      <c r="G346" s="12" t="s">
        <v>7</v>
      </c>
    </row>
    <row r="347" spans="1:7" x14ac:dyDescent="0.3">
      <c r="A347" s="12" t="s">
        <v>1145</v>
      </c>
      <c r="B347" s="12" t="s">
        <v>1171</v>
      </c>
      <c r="C347" s="12" t="s">
        <v>68</v>
      </c>
      <c r="D347" s="12">
        <v>6</v>
      </c>
      <c r="E347" s="17">
        <v>109</v>
      </c>
      <c r="F347" s="12">
        <v>654</v>
      </c>
      <c r="G347" s="12" t="s">
        <v>27</v>
      </c>
    </row>
    <row r="348" spans="1:7" x14ac:dyDescent="0.3">
      <c r="A348" s="12" t="s">
        <v>368</v>
      </c>
      <c r="B348" s="12" t="s">
        <v>1147</v>
      </c>
      <c r="C348" s="12" t="s">
        <v>24</v>
      </c>
      <c r="D348" s="12">
        <v>2</v>
      </c>
      <c r="E348" s="17">
        <v>385</v>
      </c>
      <c r="F348" s="12">
        <v>770</v>
      </c>
      <c r="G348" s="12" t="s">
        <v>15</v>
      </c>
    </row>
    <row r="349" spans="1:7" x14ac:dyDescent="0.3">
      <c r="A349" s="12" t="s">
        <v>368</v>
      </c>
      <c r="B349" s="12" t="s">
        <v>806</v>
      </c>
      <c r="C349" s="12" t="s">
        <v>10</v>
      </c>
      <c r="D349" s="12">
        <v>6</v>
      </c>
      <c r="E349" s="17">
        <v>588</v>
      </c>
      <c r="F349" s="12">
        <v>3528</v>
      </c>
      <c r="G349" s="12" t="s">
        <v>33</v>
      </c>
    </row>
    <row r="350" spans="1:7" x14ac:dyDescent="0.3">
      <c r="A350" s="12" t="s">
        <v>578</v>
      </c>
      <c r="B350" s="12" t="s">
        <v>579</v>
      </c>
      <c r="C350" s="12" t="s">
        <v>14</v>
      </c>
      <c r="D350" s="12">
        <v>4</v>
      </c>
      <c r="E350" s="17">
        <v>452</v>
      </c>
      <c r="F350" s="12">
        <v>1808</v>
      </c>
      <c r="G350" s="12" t="s">
        <v>15</v>
      </c>
    </row>
    <row r="351" spans="1:7" x14ac:dyDescent="0.3">
      <c r="A351" s="12" t="s">
        <v>253</v>
      </c>
      <c r="B351" s="12" t="s">
        <v>254</v>
      </c>
      <c r="C351" s="12" t="s">
        <v>30</v>
      </c>
      <c r="D351" s="12">
        <v>2</v>
      </c>
      <c r="E351" s="17">
        <v>512</v>
      </c>
      <c r="F351" s="12">
        <v>1024</v>
      </c>
      <c r="G351" s="12" t="s">
        <v>7</v>
      </c>
    </row>
    <row r="352" spans="1:7" x14ac:dyDescent="0.3">
      <c r="A352" s="12" t="s">
        <v>253</v>
      </c>
      <c r="B352" s="12" t="s">
        <v>945</v>
      </c>
      <c r="C352" s="12" t="s">
        <v>6</v>
      </c>
      <c r="D352" s="12">
        <v>5</v>
      </c>
      <c r="E352" s="17">
        <v>837</v>
      </c>
      <c r="F352" s="12">
        <v>4185</v>
      </c>
      <c r="G352" s="12" t="s">
        <v>27</v>
      </c>
    </row>
    <row r="353" spans="1:7" x14ac:dyDescent="0.3">
      <c r="A353" s="12" t="s">
        <v>286</v>
      </c>
      <c r="B353" s="12" t="s">
        <v>1016</v>
      </c>
      <c r="C353" s="12" t="s">
        <v>68</v>
      </c>
      <c r="D353" s="12">
        <v>6</v>
      </c>
      <c r="E353" s="17">
        <v>240</v>
      </c>
      <c r="F353" s="12">
        <v>1440</v>
      </c>
      <c r="G353" s="12" t="s">
        <v>19</v>
      </c>
    </row>
    <row r="354" spans="1:7" x14ac:dyDescent="0.3">
      <c r="A354" s="12" t="s">
        <v>1196</v>
      </c>
      <c r="B354" s="12" t="s">
        <v>1197</v>
      </c>
      <c r="C354" s="12" t="s">
        <v>65</v>
      </c>
      <c r="D354" s="12">
        <v>1</v>
      </c>
      <c r="E354" s="17">
        <v>965</v>
      </c>
      <c r="F354" s="12">
        <v>965</v>
      </c>
      <c r="G354" s="12" t="s">
        <v>11</v>
      </c>
    </row>
    <row r="355" spans="1:7" x14ac:dyDescent="0.3">
      <c r="A355" s="12" t="s">
        <v>404</v>
      </c>
      <c r="B355" s="12" t="s">
        <v>405</v>
      </c>
      <c r="C355" s="12" t="s">
        <v>65</v>
      </c>
      <c r="D355" s="12">
        <v>6</v>
      </c>
      <c r="E355" s="17">
        <v>340</v>
      </c>
      <c r="F355" s="12">
        <v>2040</v>
      </c>
      <c r="G355" s="12" t="s">
        <v>19</v>
      </c>
    </row>
    <row r="356" spans="1:7" x14ac:dyDescent="0.3">
      <c r="A356" s="12" t="s">
        <v>480</v>
      </c>
      <c r="B356" s="12" t="s">
        <v>1116</v>
      </c>
      <c r="C356" s="12" t="s">
        <v>24</v>
      </c>
      <c r="D356" s="12">
        <v>5</v>
      </c>
      <c r="E356" s="17">
        <v>273</v>
      </c>
      <c r="F356" s="12">
        <v>1365</v>
      </c>
      <c r="G356" s="12" t="s">
        <v>27</v>
      </c>
    </row>
    <row r="357" spans="1:7" x14ac:dyDescent="0.3">
      <c r="A357" s="12" t="s">
        <v>136</v>
      </c>
      <c r="B357" s="12" t="s">
        <v>137</v>
      </c>
      <c r="C357" s="12" t="s">
        <v>6</v>
      </c>
      <c r="D357" s="12">
        <v>3</v>
      </c>
      <c r="E357" s="17">
        <v>870</v>
      </c>
      <c r="F357" s="12">
        <v>2610</v>
      </c>
      <c r="G357" s="12" t="s">
        <v>19</v>
      </c>
    </row>
    <row r="358" spans="1:7" x14ac:dyDescent="0.3">
      <c r="A358" s="12" t="s">
        <v>535</v>
      </c>
      <c r="B358" s="12" t="s">
        <v>610</v>
      </c>
      <c r="C358" s="12" t="s">
        <v>10</v>
      </c>
      <c r="D358" s="12">
        <v>4</v>
      </c>
      <c r="E358" s="17">
        <v>953</v>
      </c>
      <c r="F358" s="12">
        <v>3812</v>
      </c>
      <c r="G358" s="12" t="s">
        <v>15</v>
      </c>
    </row>
    <row r="359" spans="1:7" x14ac:dyDescent="0.3">
      <c r="A359" s="12" t="s">
        <v>1204</v>
      </c>
      <c r="B359" s="12" t="s">
        <v>1205</v>
      </c>
      <c r="C359" s="12" t="s">
        <v>38</v>
      </c>
      <c r="D359" s="12">
        <v>6</v>
      </c>
      <c r="E359" s="17">
        <v>234</v>
      </c>
      <c r="F359" s="12">
        <v>1404</v>
      </c>
      <c r="G359" s="12" t="s">
        <v>15</v>
      </c>
    </row>
    <row r="360" spans="1:7" x14ac:dyDescent="0.3">
      <c r="A360" s="12" t="s">
        <v>570</v>
      </c>
      <c r="B360" s="12" t="s">
        <v>571</v>
      </c>
      <c r="C360" s="12" t="s">
        <v>14</v>
      </c>
      <c r="D360" s="12">
        <v>4</v>
      </c>
      <c r="E360" s="17">
        <v>950</v>
      </c>
      <c r="F360" s="12">
        <v>3800</v>
      </c>
      <c r="G360" s="12" t="s">
        <v>33</v>
      </c>
    </row>
    <row r="361" spans="1:7" x14ac:dyDescent="0.3">
      <c r="A361" s="12" t="s">
        <v>749</v>
      </c>
      <c r="B361" s="12" t="s">
        <v>750</v>
      </c>
      <c r="C361" s="12" t="s">
        <v>68</v>
      </c>
      <c r="D361" s="12">
        <v>6</v>
      </c>
      <c r="E361" s="17">
        <v>541</v>
      </c>
      <c r="F361" s="12">
        <v>3246</v>
      </c>
      <c r="G361" s="12" t="s">
        <v>11</v>
      </c>
    </row>
    <row r="362" spans="1:7" x14ac:dyDescent="0.3">
      <c r="A362" s="12" t="s">
        <v>41</v>
      </c>
      <c r="B362" s="12" t="s">
        <v>42</v>
      </c>
      <c r="C362" s="12" t="s">
        <v>10</v>
      </c>
      <c r="D362" s="12">
        <v>3</v>
      </c>
      <c r="E362" s="17">
        <v>426</v>
      </c>
      <c r="F362" s="12">
        <v>1278</v>
      </c>
      <c r="G362" s="12" t="s">
        <v>33</v>
      </c>
    </row>
    <row r="363" spans="1:7" x14ac:dyDescent="0.3">
      <c r="A363" s="12" t="s">
        <v>710</v>
      </c>
      <c r="B363" s="12" t="s">
        <v>174</v>
      </c>
      <c r="C363" s="12" t="s">
        <v>65</v>
      </c>
      <c r="D363" s="12">
        <v>1</v>
      </c>
      <c r="E363" s="17">
        <v>804</v>
      </c>
      <c r="F363" s="12">
        <v>804</v>
      </c>
      <c r="G363" s="12" t="s">
        <v>19</v>
      </c>
    </row>
    <row r="364" spans="1:7" x14ac:dyDescent="0.3">
      <c r="A364" s="12" t="s">
        <v>710</v>
      </c>
      <c r="B364" s="12" t="s">
        <v>711</v>
      </c>
      <c r="C364" s="12" t="s">
        <v>18</v>
      </c>
      <c r="D364" s="12">
        <v>5</v>
      </c>
      <c r="E364" s="17">
        <v>536</v>
      </c>
      <c r="F364" s="12">
        <v>2680</v>
      </c>
      <c r="G364" s="12" t="s">
        <v>15</v>
      </c>
    </row>
    <row r="365" spans="1:7" x14ac:dyDescent="0.3">
      <c r="A365" s="12" t="s">
        <v>8</v>
      </c>
      <c r="B365" s="12" t="s">
        <v>513</v>
      </c>
      <c r="C365" s="12" t="s">
        <v>38</v>
      </c>
      <c r="D365" s="12">
        <v>6</v>
      </c>
      <c r="E365" s="17">
        <v>785</v>
      </c>
      <c r="F365" s="12">
        <v>4710</v>
      </c>
      <c r="G365" s="12" t="s">
        <v>27</v>
      </c>
    </row>
    <row r="366" spans="1:7" x14ac:dyDescent="0.3">
      <c r="A366" s="12" t="s">
        <v>765</v>
      </c>
      <c r="B366" s="12" t="s">
        <v>1131</v>
      </c>
      <c r="C366" s="12" t="s">
        <v>65</v>
      </c>
      <c r="D366" s="12">
        <v>3</v>
      </c>
      <c r="E366" s="17">
        <v>129</v>
      </c>
      <c r="F366" s="12">
        <v>387</v>
      </c>
      <c r="G366" s="12" t="s">
        <v>15</v>
      </c>
    </row>
    <row r="367" spans="1:7" x14ac:dyDescent="0.3">
      <c r="A367" s="12" t="s">
        <v>503</v>
      </c>
      <c r="B367" s="12" t="s">
        <v>504</v>
      </c>
      <c r="C367" s="12" t="s">
        <v>68</v>
      </c>
      <c r="D367" s="12">
        <v>3</v>
      </c>
      <c r="E367" s="17">
        <v>398</v>
      </c>
      <c r="F367" s="12">
        <v>1194</v>
      </c>
      <c r="G367" s="12" t="s">
        <v>19</v>
      </c>
    </row>
    <row r="368" spans="1:7" x14ac:dyDescent="0.3">
      <c r="A368" s="12" t="s">
        <v>694</v>
      </c>
      <c r="B368" s="12" t="s">
        <v>1176</v>
      </c>
      <c r="C368" s="12" t="s">
        <v>14</v>
      </c>
      <c r="D368" s="12">
        <v>2</v>
      </c>
      <c r="E368" s="17">
        <v>365</v>
      </c>
      <c r="F368" s="12">
        <v>730</v>
      </c>
      <c r="G368" s="12" t="s">
        <v>33</v>
      </c>
    </row>
    <row r="369" spans="1:7" x14ac:dyDescent="0.3">
      <c r="A369" s="12" t="s">
        <v>728</v>
      </c>
      <c r="B369" s="12" t="s">
        <v>919</v>
      </c>
      <c r="C369" s="12" t="s">
        <v>24</v>
      </c>
      <c r="D369" s="12">
        <v>5</v>
      </c>
      <c r="E369" s="17">
        <v>152</v>
      </c>
      <c r="F369" s="12">
        <v>760</v>
      </c>
      <c r="G369" s="12" t="s">
        <v>11</v>
      </c>
    </row>
    <row r="370" spans="1:7" x14ac:dyDescent="0.3">
      <c r="A370" s="12" t="s">
        <v>728</v>
      </c>
      <c r="B370" s="12" t="s">
        <v>729</v>
      </c>
      <c r="C370" s="12" t="s">
        <v>68</v>
      </c>
      <c r="D370" s="12">
        <v>5</v>
      </c>
      <c r="E370" s="17">
        <v>943</v>
      </c>
      <c r="F370" s="12">
        <v>4715</v>
      </c>
      <c r="G370" s="12" t="s">
        <v>27</v>
      </c>
    </row>
    <row r="371" spans="1:7" x14ac:dyDescent="0.3">
      <c r="A371" s="12" t="s">
        <v>150</v>
      </c>
      <c r="B371" s="12" t="s">
        <v>1279</v>
      </c>
      <c r="C371" s="12" t="s">
        <v>38</v>
      </c>
      <c r="D371" s="12">
        <v>4</v>
      </c>
      <c r="E371" s="17">
        <v>153</v>
      </c>
      <c r="F371" s="12">
        <v>612</v>
      </c>
      <c r="G371" s="12" t="s">
        <v>15</v>
      </c>
    </row>
    <row r="372" spans="1:7" x14ac:dyDescent="0.3">
      <c r="A372" s="12" t="s">
        <v>150</v>
      </c>
      <c r="B372" s="12" t="s">
        <v>384</v>
      </c>
      <c r="C372" s="12" t="s">
        <v>18</v>
      </c>
      <c r="D372" s="12">
        <v>2</v>
      </c>
      <c r="E372" s="17">
        <v>982</v>
      </c>
      <c r="F372" s="12">
        <v>1964</v>
      </c>
      <c r="G372" s="12" t="s">
        <v>15</v>
      </c>
    </row>
    <row r="373" spans="1:7" x14ac:dyDescent="0.3">
      <c r="A373" s="12" t="s">
        <v>335</v>
      </c>
      <c r="B373" s="12" t="s">
        <v>336</v>
      </c>
      <c r="C373" s="12" t="s">
        <v>38</v>
      </c>
      <c r="D373" s="12">
        <v>1</v>
      </c>
      <c r="E373" s="17">
        <v>366</v>
      </c>
      <c r="F373" s="12">
        <v>366</v>
      </c>
      <c r="G373" s="12" t="s">
        <v>7</v>
      </c>
    </row>
    <row r="374" spans="1:7" x14ac:dyDescent="0.3">
      <c r="A374" s="12" t="s">
        <v>175</v>
      </c>
      <c r="B374" s="12" t="s">
        <v>599</v>
      </c>
      <c r="C374" s="12" t="s">
        <v>24</v>
      </c>
      <c r="D374" s="12">
        <v>1</v>
      </c>
      <c r="E374" s="17">
        <v>342</v>
      </c>
      <c r="F374" s="12">
        <v>342</v>
      </c>
      <c r="G374" s="12" t="s">
        <v>11</v>
      </c>
    </row>
    <row r="375" spans="1:7" x14ac:dyDescent="0.3">
      <c r="A375" s="12" t="s">
        <v>175</v>
      </c>
      <c r="B375" s="12" t="s">
        <v>176</v>
      </c>
      <c r="C375" s="12" t="s">
        <v>10</v>
      </c>
      <c r="D375" s="12">
        <v>6</v>
      </c>
      <c r="E375" s="17">
        <v>669</v>
      </c>
      <c r="F375" s="12">
        <v>4014</v>
      </c>
      <c r="G375" s="12" t="s">
        <v>7</v>
      </c>
    </row>
    <row r="376" spans="1:7" x14ac:dyDescent="0.3">
      <c r="A376" s="12" t="s">
        <v>198</v>
      </c>
      <c r="B376" s="12" t="s">
        <v>815</v>
      </c>
      <c r="C376" s="12" t="s">
        <v>10</v>
      </c>
      <c r="D376" s="12">
        <v>2</v>
      </c>
      <c r="E376" s="17">
        <v>400</v>
      </c>
      <c r="F376" s="12">
        <v>800</v>
      </c>
      <c r="G376" s="12" t="s">
        <v>33</v>
      </c>
    </row>
    <row r="377" spans="1:7" x14ac:dyDescent="0.3">
      <c r="A377" s="12" t="s">
        <v>198</v>
      </c>
      <c r="B377" s="12" t="s">
        <v>199</v>
      </c>
      <c r="C377" s="12" t="s">
        <v>65</v>
      </c>
      <c r="D377" s="12">
        <v>4</v>
      </c>
      <c r="E377" s="17">
        <v>457</v>
      </c>
      <c r="F377" s="12">
        <v>1828</v>
      </c>
      <c r="G377" s="12" t="s">
        <v>33</v>
      </c>
    </row>
    <row r="378" spans="1:7" x14ac:dyDescent="0.3">
      <c r="A378" s="12" t="s">
        <v>712</v>
      </c>
      <c r="B378" s="12" t="s">
        <v>713</v>
      </c>
      <c r="C378" s="12" t="s">
        <v>14</v>
      </c>
      <c r="D378" s="12">
        <v>3</v>
      </c>
      <c r="E378" s="17">
        <v>885</v>
      </c>
      <c r="F378" s="12">
        <v>2655</v>
      </c>
      <c r="G378" s="12" t="s">
        <v>11</v>
      </c>
    </row>
    <row r="379" spans="1:7" x14ac:dyDescent="0.3">
      <c r="A379" s="12" t="s">
        <v>95</v>
      </c>
      <c r="B379" s="12" t="s">
        <v>96</v>
      </c>
      <c r="C379" s="12" t="s">
        <v>79</v>
      </c>
      <c r="D379" s="12">
        <v>5</v>
      </c>
      <c r="E379" s="17">
        <v>220</v>
      </c>
      <c r="F379" s="12">
        <v>1100</v>
      </c>
      <c r="G379" s="12" t="s">
        <v>11</v>
      </c>
    </row>
    <row r="380" spans="1:7" x14ac:dyDescent="0.3">
      <c r="A380" s="12" t="s">
        <v>95</v>
      </c>
      <c r="B380" s="12" t="s">
        <v>412</v>
      </c>
      <c r="C380" s="12" t="s">
        <v>6</v>
      </c>
      <c r="D380" s="12">
        <v>6</v>
      </c>
      <c r="E380" s="17">
        <v>614</v>
      </c>
      <c r="F380" s="12">
        <v>3684</v>
      </c>
      <c r="G380" s="12" t="s">
        <v>27</v>
      </c>
    </row>
    <row r="381" spans="1:7" x14ac:dyDescent="0.3">
      <c r="A381" s="12" t="s">
        <v>345</v>
      </c>
      <c r="B381" s="12" t="s">
        <v>655</v>
      </c>
      <c r="C381" s="12" t="s">
        <v>14</v>
      </c>
      <c r="D381" s="12">
        <v>4</v>
      </c>
      <c r="E381" s="17">
        <v>621</v>
      </c>
      <c r="F381" s="12">
        <v>2484</v>
      </c>
      <c r="G381" s="12" t="s">
        <v>7</v>
      </c>
    </row>
    <row r="382" spans="1:7" x14ac:dyDescent="0.3">
      <c r="A382" s="12" t="s">
        <v>397</v>
      </c>
      <c r="B382" s="12" t="s">
        <v>398</v>
      </c>
      <c r="C382" s="12" t="s">
        <v>6</v>
      </c>
      <c r="D382" s="12">
        <v>5</v>
      </c>
      <c r="E382" s="17">
        <v>280</v>
      </c>
      <c r="F382" s="12">
        <v>1400</v>
      </c>
      <c r="G382" s="12" t="s">
        <v>7</v>
      </c>
    </row>
    <row r="383" spans="1:7" x14ac:dyDescent="0.3">
      <c r="A383" s="12" t="s">
        <v>397</v>
      </c>
      <c r="B383" s="12" t="s">
        <v>1124</v>
      </c>
      <c r="C383" s="12" t="s">
        <v>65</v>
      </c>
      <c r="D383" s="12">
        <v>6</v>
      </c>
      <c r="E383" s="17">
        <v>856</v>
      </c>
      <c r="F383" s="12">
        <v>5136</v>
      </c>
      <c r="G383" s="12" t="s">
        <v>7</v>
      </c>
    </row>
    <row r="384" spans="1:7" x14ac:dyDescent="0.3">
      <c r="A384" s="12" t="s">
        <v>554</v>
      </c>
      <c r="B384" s="12" t="s">
        <v>556</v>
      </c>
      <c r="C384" s="12" t="s">
        <v>30</v>
      </c>
      <c r="D384" s="12">
        <v>2</v>
      </c>
      <c r="E384" s="17">
        <v>788</v>
      </c>
      <c r="F384" s="12">
        <v>1576</v>
      </c>
      <c r="G384" s="12" t="s">
        <v>19</v>
      </c>
    </row>
    <row r="385" spans="1:7" x14ac:dyDescent="0.3">
      <c r="A385" s="12" t="s">
        <v>554</v>
      </c>
      <c r="B385" s="12" t="s">
        <v>952</v>
      </c>
      <c r="C385" s="12" t="s">
        <v>68</v>
      </c>
      <c r="D385" s="12">
        <v>6</v>
      </c>
      <c r="E385" s="17">
        <v>806</v>
      </c>
      <c r="F385" s="12">
        <v>4836</v>
      </c>
      <c r="G385" s="12" t="s">
        <v>27</v>
      </c>
    </row>
    <row r="386" spans="1:7" x14ac:dyDescent="0.3">
      <c r="A386" s="12" t="s">
        <v>495</v>
      </c>
      <c r="B386" s="12" t="s">
        <v>681</v>
      </c>
      <c r="C386" s="12" t="s">
        <v>14</v>
      </c>
      <c r="D386" s="12">
        <v>1</v>
      </c>
      <c r="E386" s="17">
        <v>202</v>
      </c>
      <c r="F386" s="12">
        <v>202</v>
      </c>
      <c r="G386" s="12" t="s">
        <v>19</v>
      </c>
    </row>
    <row r="387" spans="1:7" x14ac:dyDescent="0.3">
      <c r="A387" s="12" t="s">
        <v>495</v>
      </c>
      <c r="B387" s="12" t="s">
        <v>496</v>
      </c>
      <c r="C387" s="12" t="s">
        <v>68</v>
      </c>
      <c r="D387" s="12">
        <v>3</v>
      </c>
      <c r="E387" s="17">
        <v>211</v>
      </c>
      <c r="F387" s="12">
        <v>633</v>
      </c>
      <c r="G387" s="12" t="s">
        <v>27</v>
      </c>
    </row>
    <row r="388" spans="1:7" x14ac:dyDescent="0.3">
      <c r="A388" s="12" t="s">
        <v>1070</v>
      </c>
      <c r="B388" s="12" t="s">
        <v>1071</v>
      </c>
      <c r="C388" s="12" t="s">
        <v>14</v>
      </c>
      <c r="D388" s="12">
        <v>1</v>
      </c>
      <c r="E388" s="17">
        <v>171</v>
      </c>
      <c r="F388" s="12">
        <v>171</v>
      </c>
      <c r="G388" s="12" t="s">
        <v>7</v>
      </c>
    </row>
    <row r="389" spans="1:7" x14ac:dyDescent="0.3">
      <c r="A389" s="12" t="s">
        <v>538</v>
      </c>
      <c r="B389" s="12" t="s">
        <v>539</v>
      </c>
      <c r="C389" s="12" t="s">
        <v>6</v>
      </c>
      <c r="D389" s="12">
        <v>1</v>
      </c>
      <c r="E389" s="17">
        <v>101</v>
      </c>
      <c r="F389" s="12">
        <v>101</v>
      </c>
      <c r="G389" s="12" t="s">
        <v>33</v>
      </c>
    </row>
    <row r="390" spans="1:7" x14ac:dyDescent="0.3">
      <c r="A390" s="12" t="s">
        <v>89</v>
      </c>
      <c r="B390" s="12" t="s">
        <v>386</v>
      </c>
      <c r="C390" s="12" t="s">
        <v>24</v>
      </c>
      <c r="D390" s="12">
        <v>6</v>
      </c>
      <c r="E390" s="17">
        <v>106</v>
      </c>
      <c r="F390" s="12">
        <v>636</v>
      </c>
      <c r="G390" s="12" t="s">
        <v>19</v>
      </c>
    </row>
    <row r="391" spans="1:7" x14ac:dyDescent="0.3">
      <c r="A391" s="12" t="s">
        <v>89</v>
      </c>
      <c r="B391" s="12" t="s">
        <v>1072</v>
      </c>
      <c r="C391" s="12" t="s">
        <v>68</v>
      </c>
      <c r="D391" s="12">
        <v>3</v>
      </c>
      <c r="E391" s="17">
        <v>526</v>
      </c>
      <c r="F391" s="12">
        <v>1578</v>
      </c>
      <c r="G391" s="12" t="s">
        <v>11</v>
      </c>
    </row>
    <row r="392" spans="1:7" x14ac:dyDescent="0.3">
      <c r="A392" s="12" t="s">
        <v>714</v>
      </c>
      <c r="B392" s="12" t="s">
        <v>715</v>
      </c>
      <c r="C392" s="12" t="s">
        <v>10</v>
      </c>
      <c r="D392" s="12">
        <v>3</v>
      </c>
      <c r="E392" s="17">
        <v>67</v>
      </c>
      <c r="F392" s="12">
        <v>201</v>
      </c>
      <c r="G392" s="12" t="s">
        <v>15</v>
      </c>
    </row>
    <row r="393" spans="1:7" x14ac:dyDescent="0.3">
      <c r="A393" s="12" t="s">
        <v>71</v>
      </c>
      <c r="B393" s="12" t="s">
        <v>1101</v>
      </c>
      <c r="C393" s="12" t="s">
        <v>14</v>
      </c>
      <c r="D393" s="12">
        <v>2</v>
      </c>
      <c r="E393" s="17">
        <v>515</v>
      </c>
      <c r="F393" s="12">
        <v>1030</v>
      </c>
      <c r="G393" s="12" t="s">
        <v>19</v>
      </c>
    </row>
    <row r="394" spans="1:7" x14ac:dyDescent="0.3">
      <c r="A394" s="12" t="s">
        <v>71</v>
      </c>
      <c r="B394" s="12" t="s">
        <v>479</v>
      </c>
      <c r="C394" s="12" t="s">
        <v>10</v>
      </c>
      <c r="D394" s="12">
        <v>5</v>
      </c>
      <c r="E394" s="17">
        <v>707</v>
      </c>
      <c r="F394" s="12">
        <v>3535</v>
      </c>
      <c r="G394" s="12" t="s">
        <v>19</v>
      </c>
    </row>
    <row r="395" spans="1:7" x14ac:dyDescent="0.3">
      <c r="A395" s="12" t="s">
        <v>66</v>
      </c>
      <c r="B395" s="12" t="s">
        <v>186</v>
      </c>
      <c r="C395" s="12" t="s">
        <v>6</v>
      </c>
      <c r="D395" s="12">
        <v>1</v>
      </c>
      <c r="E395" s="17">
        <v>504</v>
      </c>
      <c r="F395" s="12">
        <v>504</v>
      </c>
      <c r="G395" s="12" t="s">
        <v>7</v>
      </c>
    </row>
    <row r="396" spans="1:7" x14ac:dyDescent="0.3">
      <c r="A396" s="12" t="s">
        <v>66</v>
      </c>
      <c r="B396" s="12" t="s">
        <v>590</v>
      </c>
      <c r="C396" s="12" t="s">
        <v>14</v>
      </c>
      <c r="D396" s="12">
        <v>5</v>
      </c>
      <c r="E396" s="17">
        <v>338</v>
      </c>
      <c r="F396" s="12">
        <v>1690</v>
      </c>
      <c r="G396" s="12" t="s">
        <v>27</v>
      </c>
    </row>
    <row r="397" spans="1:7" x14ac:dyDescent="0.3">
      <c r="A397" s="12" t="s">
        <v>66</v>
      </c>
      <c r="B397" s="12" t="s">
        <v>1282</v>
      </c>
      <c r="C397" s="12" t="s">
        <v>30</v>
      </c>
      <c r="D397" s="12">
        <v>4</v>
      </c>
      <c r="E397" s="17">
        <v>507</v>
      </c>
      <c r="F397" s="12">
        <v>2028</v>
      </c>
      <c r="G397" s="12" t="s">
        <v>19</v>
      </c>
    </row>
    <row r="398" spans="1:7" x14ac:dyDescent="0.3">
      <c r="A398" s="12" t="s">
        <v>511</v>
      </c>
      <c r="B398" s="12" t="s">
        <v>1278</v>
      </c>
      <c r="C398" s="12" t="s">
        <v>6</v>
      </c>
      <c r="D398" s="12">
        <v>4</v>
      </c>
      <c r="E398" s="17">
        <v>118</v>
      </c>
      <c r="F398" s="12">
        <v>472</v>
      </c>
      <c r="G398" s="12" t="s">
        <v>11</v>
      </c>
    </row>
    <row r="399" spans="1:7" x14ac:dyDescent="0.3">
      <c r="A399" s="12" t="s">
        <v>382</v>
      </c>
      <c r="B399" s="12" t="s">
        <v>383</v>
      </c>
      <c r="C399" s="12" t="s">
        <v>65</v>
      </c>
      <c r="D399" s="12">
        <v>1</v>
      </c>
      <c r="E399" s="17">
        <v>564</v>
      </c>
      <c r="F399" s="12">
        <v>564</v>
      </c>
      <c r="G399" s="12" t="s">
        <v>11</v>
      </c>
    </row>
    <row r="400" spans="1:7" x14ac:dyDescent="0.3">
      <c r="A400" s="12" t="s">
        <v>568</v>
      </c>
      <c r="B400" s="12" t="s">
        <v>1331</v>
      </c>
      <c r="C400" s="12" t="s">
        <v>24</v>
      </c>
      <c r="D400" s="12">
        <v>3</v>
      </c>
      <c r="E400" s="17">
        <v>229</v>
      </c>
      <c r="F400" s="12">
        <v>687</v>
      </c>
      <c r="G400" s="12" t="s">
        <v>15</v>
      </c>
    </row>
    <row r="401" spans="1:7" x14ac:dyDescent="0.3">
      <c r="A401" s="12" t="s">
        <v>568</v>
      </c>
      <c r="B401" s="12" t="s">
        <v>837</v>
      </c>
      <c r="C401" s="12" t="s">
        <v>24</v>
      </c>
      <c r="D401" s="12">
        <v>5</v>
      </c>
      <c r="E401" s="17">
        <v>621</v>
      </c>
      <c r="F401" s="12">
        <v>3105</v>
      </c>
      <c r="G401" s="12" t="s">
        <v>7</v>
      </c>
    </row>
    <row r="402" spans="1:7" x14ac:dyDescent="0.3">
      <c r="A402" s="12" t="s">
        <v>193</v>
      </c>
      <c r="B402" s="12" t="s">
        <v>194</v>
      </c>
      <c r="C402" s="12" t="s">
        <v>18</v>
      </c>
      <c r="D402" s="12">
        <v>3</v>
      </c>
      <c r="E402" s="17">
        <v>190</v>
      </c>
      <c r="F402" s="12">
        <v>570</v>
      </c>
      <c r="G402" s="12" t="s">
        <v>15</v>
      </c>
    </row>
    <row r="403" spans="1:7" x14ac:dyDescent="0.3">
      <c r="A403" s="12" t="s">
        <v>193</v>
      </c>
      <c r="B403" s="12" t="s">
        <v>457</v>
      </c>
      <c r="C403" s="12" t="s">
        <v>38</v>
      </c>
      <c r="D403" s="12">
        <v>2</v>
      </c>
      <c r="E403" s="17">
        <v>706</v>
      </c>
      <c r="F403" s="12">
        <v>1412</v>
      </c>
      <c r="G403" s="12" t="s">
        <v>33</v>
      </c>
    </row>
    <row r="404" spans="1:7" x14ac:dyDescent="0.3">
      <c r="A404" s="12" t="s">
        <v>193</v>
      </c>
      <c r="B404" s="12" t="s">
        <v>1216</v>
      </c>
      <c r="C404" s="12" t="s">
        <v>68</v>
      </c>
      <c r="D404" s="12">
        <v>4</v>
      </c>
      <c r="E404" s="17">
        <v>509</v>
      </c>
      <c r="F404" s="12">
        <v>2036</v>
      </c>
      <c r="G404" s="12" t="s">
        <v>7</v>
      </c>
    </row>
    <row r="405" spans="1:7" x14ac:dyDescent="0.3">
      <c r="A405" s="12" t="s">
        <v>193</v>
      </c>
      <c r="B405" s="12" t="s">
        <v>1250</v>
      </c>
      <c r="C405" s="12" t="s">
        <v>14</v>
      </c>
      <c r="D405" s="12">
        <v>5</v>
      </c>
      <c r="E405" s="17">
        <v>594</v>
      </c>
      <c r="F405" s="12">
        <v>2970</v>
      </c>
      <c r="G405" s="12" t="s">
        <v>11</v>
      </c>
    </row>
    <row r="406" spans="1:7" x14ac:dyDescent="0.3">
      <c r="A406" s="12" t="s">
        <v>243</v>
      </c>
      <c r="B406" s="12" t="s">
        <v>244</v>
      </c>
      <c r="C406" s="12" t="s">
        <v>38</v>
      </c>
      <c r="D406" s="12">
        <v>1</v>
      </c>
      <c r="E406" s="17">
        <v>254</v>
      </c>
      <c r="F406" s="12">
        <v>254</v>
      </c>
      <c r="G406" s="12" t="s">
        <v>7</v>
      </c>
    </row>
    <row r="407" spans="1:7" x14ac:dyDescent="0.3">
      <c r="A407" s="12" t="s">
        <v>127</v>
      </c>
      <c r="B407" s="12" t="s">
        <v>301</v>
      </c>
      <c r="C407" s="12" t="s">
        <v>6</v>
      </c>
      <c r="D407" s="12">
        <v>6</v>
      </c>
      <c r="E407" s="17">
        <v>174</v>
      </c>
      <c r="F407" s="12">
        <v>1044</v>
      </c>
      <c r="G407" s="12" t="s">
        <v>11</v>
      </c>
    </row>
    <row r="408" spans="1:7" x14ac:dyDescent="0.3">
      <c r="A408" s="12" t="s">
        <v>127</v>
      </c>
      <c r="B408" s="12" t="s">
        <v>128</v>
      </c>
      <c r="C408" s="12" t="s">
        <v>10</v>
      </c>
      <c r="D408" s="12">
        <v>5</v>
      </c>
      <c r="E408" s="17">
        <v>737</v>
      </c>
      <c r="F408" s="12">
        <v>3685</v>
      </c>
      <c r="G408" s="12" t="s">
        <v>7</v>
      </c>
    </row>
    <row r="409" spans="1:7" x14ac:dyDescent="0.3">
      <c r="A409" s="12" t="s">
        <v>1096</v>
      </c>
      <c r="B409" s="12" t="s">
        <v>1097</v>
      </c>
      <c r="C409" s="12" t="s">
        <v>18</v>
      </c>
      <c r="D409" s="12">
        <v>2</v>
      </c>
      <c r="E409" s="17">
        <v>186</v>
      </c>
      <c r="F409" s="12">
        <v>372</v>
      </c>
      <c r="G409" s="12" t="s">
        <v>33</v>
      </c>
    </row>
    <row r="410" spans="1:7" x14ac:dyDescent="0.3">
      <c r="A410" s="12" t="s">
        <v>390</v>
      </c>
      <c r="B410" s="12" t="s">
        <v>391</v>
      </c>
      <c r="C410" s="12" t="s">
        <v>18</v>
      </c>
      <c r="D410" s="12">
        <v>5</v>
      </c>
      <c r="E410" s="17">
        <v>206</v>
      </c>
      <c r="F410" s="12">
        <v>1030</v>
      </c>
      <c r="G410" s="12" t="s">
        <v>15</v>
      </c>
    </row>
    <row r="411" spans="1:7" x14ac:dyDescent="0.3">
      <c r="A411" s="12" t="s">
        <v>390</v>
      </c>
      <c r="B411" s="12" t="s">
        <v>1138</v>
      </c>
      <c r="C411" s="12" t="s">
        <v>6</v>
      </c>
      <c r="D411" s="12">
        <v>3</v>
      </c>
      <c r="E411" s="17">
        <v>610</v>
      </c>
      <c r="F411" s="12">
        <v>1830</v>
      </c>
      <c r="G411" s="12" t="s">
        <v>19</v>
      </c>
    </row>
    <row r="412" spans="1:7" x14ac:dyDescent="0.3">
      <c r="A412" s="12" t="s">
        <v>330</v>
      </c>
      <c r="B412" s="12" t="s">
        <v>705</v>
      </c>
      <c r="C412" s="12" t="s">
        <v>38</v>
      </c>
      <c r="D412" s="12">
        <v>3</v>
      </c>
      <c r="E412" s="17">
        <v>571</v>
      </c>
      <c r="F412" s="12">
        <v>1713</v>
      </c>
      <c r="G412" s="12" t="s">
        <v>33</v>
      </c>
    </row>
    <row r="413" spans="1:7" x14ac:dyDescent="0.3">
      <c r="A413" s="12" t="s">
        <v>330</v>
      </c>
      <c r="B413" s="12" t="s">
        <v>331</v>
      </c>
      <c r="C413" s="12" t="s">
        <v>14</v>
      </c>
      <c r="D413" s="12">
        <v>6</v>
      </c>
      <c r="E413" s="17">
        <v>955</v>
      </c>
      <c r="F413" s="12">
        <v>5730</v>
      </c>
      <c r="G413" s="12" t="s">
        <v>11</v>
      </c>
    </row>
    <row r="414" spans="1:7" x14ac:dyDescent="0.3">
      <c r="A414" s="12" t="s">
        <v>920</v>
      </c>
      <c r="B414" s="12" t="s">
        <v>1063</v>
      </c>
      <c r="C414" s="12" t="s">
        <v>65</v>
      </c>
      <c r="D414" s="12">
        <v>6</v>
      </c>
      <c r="E414" s="17">
        <v>317</v>
      </c>
      <c r="F414" s="12">
        <v>1902</v>
      </c>
      <c r="G414" s="12" t="s">
        <v>11</v>
      </c>
    </row>
    <row r="415" spans="1:7" x14ac:dyDescent="0.3">
      <c r="A415" s="12" t="s">
        <v>807</v>
      </c>
      <c r="B415" s="12" t="s">
        <v>884</v>
      </c>
      <c r="C415" s="12" t="s">
        <v>10</v>
      </c>
      <c r="D415" s="12">
        <v>1</v>
      </c>
      <c r="E415" s="17">
        <v>540</v>
      </c>
      <c r="F415" s="12">
        <v>540</v>
      </c>
      <c r="G415" s="12" t="s">
        <v>11</v>
      </c>
    </row>
    <row r="416" spans="1:7" x14ac:dyDescent="0.3">
      <c r="A416" s="12" t="s">
        <v>807</v>
      </c>
      <c r="B416" s="12" t="s">
        <v>808</v>
      </c>
      <c r="C416" s="12" t="s">
        <v>6</v>
      </c>
      <c r="D416" s="12">
        <v>4</v>
      </c>
      <c r="E416" s="17">
        <v>435</v>
      </c>
      <c r="F416" s="12">
        <v>1740</v>
      </c>
      <c r="G416" s="12" t="s">
        <v>19</v>
      </c>
    </row>
    <row r="417" spans="1:7" x14ac:dyDescent="0.3">
      <c r="A417" s="12" t="s">
        <v>796</v>
      </c>
      <c r="B417" s="12" t="s">
        <v>1247</v>
      </c>
      <c r="C417" s="12" t="s">
        <v>65</v>
      </c>
      <c r="D417" s="12">
        <v>1</v>
      </c>
      <c r="E417" s="17">
        <v>786</v>
      </c>
      <c r="F417" s="12">
        <v>786</v>
      </c>
      <c r="G417" s="12" t="s">
        <v>15</v>
      </c>
    </row>
    <row r="418" spans="1:7" x14ac:dyDescent="0.3">
      <c r="A418" s="12" t="s">
        <v>796</v>
      </c>
      <c r="B418" s="12" t="s">
        <v>797</v>
      </c>
      <c r="C418" s="12" t="s">
        <v>38</v>
      </c>
      <c r="D418" s="12">
        <v>2</v>
      </c>
      <c r="E418" s="17">
        <v>772</v>
      </c>
      <c r="F418" s="12">
        <v>1544</v>
      </c>
      <c r="G418" s="12" t="s">
        <v>19</v>
      </c>
    </row>
    <row r="419" spans="1:7" x14ac:dyDescent="0.3">
      <c r="A419" s="12" t="s">
        <v>781</v>
      </c>
      <c r="B419" s="12" t="s">
        <v>782</v>
      </c>
      <c r="C419" s="12" t="s">
        <v>14</v>
      </c>
      <c r="D419" s="12">
        <v>4</v>
      </c>
      <c r="E419" s="17">
        <v>470</v>
      </c>
      <c r="F419" s="12">
        <v>1880</v>
      </c>
      <c r="G419" s="12" t="s">
        <v>19</v>
      </c>
    </row>
    <row r="420" spans="1:7" x14ac:dyDescent="0.3">
      <c r="A420" s="12" t="s">
        <v>241</v>
      </c>
      <c r="B420" s="12" t="s">
        <v>953</v>
      </c>
      <c r="C420" s="12" t="s">
        <v>24</v>
      </c>
      <c r="D420" s="12">
        <v>5</v>
      </c>
      <c r="E420" s="17">
        <v>790</v>
      </c>
      <c r="F420" s="12">
        <v>3950</v>
      </c>
      <c r="G420" s="12" t="s">
        <v>15</v>
      </c>
    </row>
    <row r="421" spans="1:7" x14ac:dyDescent="0.3">
      <c r="A421" s="12" t="s">
        <v>441</v>
      </c>
      <c r="B421" s="12" t="s">
        <v>1095</v>
      </c>
      <c r="C421" s="12" t="s">
        <v>24</v>
      </c>
      <c r="D421" s="12">
        <v>2</v>
      </c>
      <c r="E421" s="17">
        <v>274</v>
      </c>
      <c r="F421" s="12">
        <v>548</v>
      </c>
      <c r="G421" s="12" t="s">
        <v>27</v>
      </c>
    </row>
    <row r="422" spans="1:7" x14ac:dyDescent="0.3">
      <c r="A422" s="12" t="s">
        <v>894</v>
      </c>
      <c r="B422" s="12" t="s">
        <v>1062</v>
      </c>
      <c r="C422" s="12" t="s">
        <v>65</v>
      </c>
      <c r="D422" s="12">
        <v>3</v>
      </c>
      <c r="E422" s="17">
        <v>61</v>
      </c>
      <c r="F422" s="12">
        <v>183</v>
      </c>
      <c r="G422" s="12" t="s">
        <v>11</v>
      </c>
    </row>
    <row r="423" spans="1:7" x14ac:dyDescent="0.3">
      <c r="A423" s="12" t="s">
        <v>894</v>
      </c>
      <c r="B423" s="12" t="s">
        <v>1148</v>
      </c>
      <c r="C423" s="12" t="s">
        <v>68</v>
      </c>
      <c r="D423" s="12">
        <v>3</v>
      </c>
      <c r="E423" s="17">
        <v>924</v>
      </c>
      <c r="F423" s="12">
        <v>2772</v>
      </c>
      <c r="G423" s="12" t="s">
        <v>11</v>
      </c>
    </row>
    <row r="424" spans="1:7" x14ac:dyDescent="0.3">
      <c r="A424" s="12" t="s">
        <v>523</v>
      </c>
      <c r="B424" s="12" t="s">
        <v>525</v>
      </c>
      <c r="C424" s="12" t="s">
        <v>24</v>
      </c>
      <c r="D424" s="12">
        <v>2</v>
      </c>
      <c r="E424" s="17">
        <v>158</v>
      </c>
      <c r="F424" s="12">
        <v>316</v>
      </c>
      <c r="G424" s="12" t="s">
        <v>11</v>
      </c>
    </row>
    <row r="425" spans="1:7" x14ac:dyDescent="0.3">
      <c r="A425" s="12" t="s">
        <v>523</v>
      </c>
      <c r="B425" s="12" t="s">
        <v>542</v>
      </c>
      <c r="C425" s="12" t="s">
        <v>30</v>
      </c>
      <c r="D425" s="12">
        <v>2</v>
      </c>
      <c r="E425" s="17">
        <v>934</v>
      </c>
      <c r="F425" s="12">
        <v>1868</v>
      </c>
      <c r="G425" s="12" t="s">
        <v>33</v>
      </c>
    </row>
    <row r="426" spans="1:7" x14ac:dyDescent="0.3">
      <c r="A426" s="12" t="s">
        <v>523</v>
      </c>
      <c r="B426" s="12" t="s">
        <v>524</v>
      </c>
      <c r="C426" s="12" t="s">
        <v>38</v>
      </c>
      <c r="D426" s="12">
        <v>5</v>
      </c>
      <c r="E426" s="17">
        <v>625</v>
      </c>
      <c r="F426" s="12">
        <v>3125</v>
      </c>
      <c r="G426" s="12" t="s">
        <v>19</v>
      </c>
    </row>
    <row r="427" spans="1:7" x14ac:dyDescent="0.3">
      <c r="A427" s="12" t="s">
        <v>523</v>
      </c>
      <c r="B427" s="12" t="s">
        <v>740</v>
      </c>
      <c r="C427" s="12" t="s">
        <v>30</v>
      </c>
      <c r="D427" s="12">
        <v>5</v>
      </c>
      <c r="E427" s="17">
        <v>844</v>
      </c>
      <c r="F427" s="12">
        <v>4220</v>
      </c>
      <c r="G427" s="12" t="s">
        <v>19</v>
      </c>
    </row>
    <row r="428" spans="1:7" x14ac:dyDescent="0.3">
      <c r="A428" s="12" t="s">
        <v>59</v>
      </c>
      <c r="B428" s="12" t="s">
        <v>985</v>
      </c>
      <c r="C428" s="12" t="s">
        <v>6</v>
      </c>
      <c r="D428" s="12">
        <v>5</v>
      </c>
      <c r="E428" s="17">
        <v>159</v>
      </c>
      <c r="F428" s="12">
        <v>795</v>
      </c>
      <c r="G428" s="12" t="s">
        <v>11</v>
      </c>
    </row>
    <row r="429" spans="1:7" x14ac:dyDescent="0.3">
      <c r="A429" s="12" t="s">
        <v>59</v>
      </c>
      <c r="B429" s="12" t="s">
        <v>976</v>
      </c>
      <c r="C429" s="12" t="s">
        <v>10</v>
      </c>
      <c r="D429" s="12">
        <v>4</v>
      </c>
      <c r="E429" s="17">
        <v>998</v>
      </c>
      <c r="F429" s="12">
        <v>3992</v>
      </c>
      <c r="G429" s="12" t="s">
        <v>27</v>
      </c>
    </row>
    <row r="430" spans="1:7" x14ac:dyDescent="0.3">
      <c r="A430" s="12" t="s">
        <v>296</v>
      </c>
      <c r="B430" s="12" t="s">
        <v>983</v>
      </c>
      <c r="C430" s="12" t="s">
        <v>68</v>
      </c>
      <c r="D430" s="12">
        <v>6</v>
      </c>
      <c r="E430" s="17">
        <v>631</v>
      </c>
      <c r="F430" s="12">
        <v>3786</v>
      </c>
      <c r="G430" s="12" t="s">
        <v>7</v>
      </c>
    </row>
    <row r="431" spans="1:7" x14ac:dyDescent="0.3">
      <c r="A431" s="12" t="s">
        <v>659</v>
      </c>
      <c r="B431" s="12" t="s">
        <v>660</v>
      </c>
      <c r="C431" s="12" t="s">
        <v>38</v>
      </c>
      <c r="D431" s="12">
        <v>3</v>
      </c>
      <c r="E431" s="17">
        <v>197</v>
      </c>
      <c r="F431" s="12">
        <v>591</v>
      </c>
      <c r="G431" s="12" t="s">
        <v>33</v>
      </c>
    </row>
    <row r="432" spans="1:7" x14ac:dyDescent="0.3">
      <c r="A432" s="12" t="s">
        <v>659</v>
      </c>
      <c r="B432" s="12" t="s">
        <v>791</v>
      </c>
      <c r="C432" s="12" t="s">
        <v>65</v>
      </c>
      <c r="D432" s="12">
        <v>5</v>
      </c>
      <c r="E432" s="17">
        <v>918</v>
      </c>
      <c r="F432" s="12">
        <v>4590</v>
      </c>
      <c r="G432" s="12" t="s">
        <v>11</v>
      </c>
    </row>
    <row r="433" spans="1:7" x14ac:dyDescent="0.3">
      <c r="A433" s="12" t="s">
        <v>1019</v>
      </c>
      <c r="B433" s="12" t="s">
        <v>1314</v>
      </c>
      <c r="C433" s="12" t="s">
        <v>24</v>
      </c>
      <c r="D433" s="12">
        <v>3</v>
      </c>
      <c r="E433" s="17">
        <v>359</v>
      </c>
      <c r="F433" s="12">
        <v>1077</v>
      </c>
      <c r="G433" s="12" t="s">
        <v>27</v>
      </c>
    </row>
    <row r="434" spans="1:7" x14ac:dyDescent="0.3">
      <c r="A434" s="12" t="s">
        <v>1019</v>
      </c>
      <c r="B434" s="12" t="s">
        <v>1329</v>
      </c>
      <c r="C434" s="12" t="s">
        <v>18</v>
      </c>
      <c r="D434" s="12">
        <v>6</v>
      </c>
      <c r="E434" s="17">
        <v>802</v>
      </c>
      <c r="F434" s="12">
        <v>4812</v>
      </c>
      <c r="G434" s="12" t="s">
        <v>11</v>
      </c>
    </row>
    <row r="435" spans="1:7" x14ac:dyDescent="0.3">
      <c r="A435" s="12" t="s">
        <v>164</v>
      </c>
      <c r="B435" s="12" t="s">
        <v>492</v>
      </c>
      <c r="C435" s="12" t="s">
        <v>6</v>
      </c>
      <c r="D435" s="12">
        <v>1</v>
      </c>
      <c r="E435" s="17">
        <v>755</v>
      </c>
      <c r="F435" s="12">
        <v>755</v>
      </c>
      <c r="G435" s="12" t="s">
        <v>15</v>
      </c>
    </row>
    <row r="436" spans="1:7" x14ac:dyDescent="0.3">
      <c r="A436" s="12" t="s">
        <v>559</v>
      </c>
      <c r="B436" s="12" t="s">
        <v>1237</v>
      </c>
      <c r="C436" s="12" t="s">
        <v>6</v>
      </c>
      <c r="D436" s="12">
        <v>4</v>
      </c>
      <c r="E436" s="17">
        <v>795</v>
      </c>
      <c r="F436" s="12">
        <v>3180</v>
      </c>
      <c r="G436" s="12" t="s">
        <v>11</v>
      </c>
    </row>
    <row r="437" spans="1:7" x14ac:dyDescent="0.3">
      <c r="A437" s="12" t="s">
        <v>156</v>
      </c>
      <c r="B437" s="12" t="s">
        <v>157</v>
      </c>
      <c r="C437" s="12" t="s">
        <v>68</v>
      </c>
      <c r="D437" s="12">
        <v>1</v>
      </c>
      <c r="E437" s="17">
        <v>85</v>
      </c>
      <c r="F437" s="12">
        <v>85</v>
      </c>
      <c r="G437" s="12" t="s">
        <v>19</v>
      </c>
    </row>
    <row r="438" spans="1:7" x14ac:dyDescent="0.3">
      <c r="A438" s="12" t="s">
        <v>156</v>
      </c>
      <c r="B438" s="12" t="s">
        <v>443</v>
      </c>
      <c r="C438" s="12" t="s">
        <v>24</v>
      </c>
      <c r="D438" s="12">
        <v>2</v>
      </c>
      <c r="E438" s="17">
        <v>912</v>
      </c>
      <c r="F438" s="12">
        <v>1824</v>
      </c>
      <c r="G438" s="12" t="s">
        <v>27</v>
      </c>
    </row>
    <row r="439" spans="1:7" x14ac:dyDescent="0.3">
      <c r="A439" s="12" t="s">
        <v>156</v>
      </c>
      <c r="B439" s="12" t="s">
        <v>1032</v>
      </c>
      <c r="C439" s="12" t="s">
        <v>68</v>
      </c>
      <c r="D439" s="12">
        <v>4</v>
      </c>
      <c r="E439" s="17">
        <v>968</v>
      </c>
      <c r="F439" s="12">
        <v>3872</v>
      </c>
      <c r="G439" s="12" t="s">
        <v>27</v>
      </c>
    </row>
    <row r="440" spans="1:7" x14ac:dyDescent="0.3">
      <c r="A440" s="12" t="s">
        <v>1164</v>
      </c>
      <c r="B440" s="12" t="s">
        <v>1165</v>
      </c>
      <c r="C440" s="12" t="s">
        <v>68</v>
      </c>
      <c r="D440" s="12">
        <v>6</v>
      </c>
      <c r="E440" s="17">
        <v>185</v>
      </c>
      <c r="F440" s="12">
        <v>1110</v>
      </c>
      <c r="G440" s="12" t="s">
        <v>19</v>
      </c>
    </row>
    <row r="441" spans="1:7" x14ac:dyDescent="0.3">
      <c r="A441" s="12" t="s">
        <v>347</v>
      </c>
      <c r="B441" s="12" t="s">
        <v>348</v>
      </c>
      <c r="C441" s="12" t="s">
        <v>65</v>
      </c>
      <c r="D441" s="12">
        <v>5</v>
      </c>
      <c r="E441" s="17">
        <v>837</v>
      </c>
      <c r="F441" s="12">
        <v>4185</v>
      </c>
      <c r="G441" s="12" t="s">
        <v>15</v>
      </c>
    </row>
    <row r="442" spans="1:7" x14ac:dyDescent="0.3">
      <c r="A442" s="12" t="s">
        <v>665</v>
      </c>
      <c r="B442" s="12" t="s">
        <v>1270</v>
      </c>
      <c r="C442" s="12" t="s">
        <v>30</v>
      </c>
      <c r="D442" s="12">
        <v>1</v>
      </c>
      <c r="E442" s="17">
        <v>679</v>
      </c>
      <c r="F442" s="12">
        <v>679</v>
      </c>
      <c r="G442" s="12" t="s">
        <v>19</v>
      </c>
    </row>
    <row r="443" spans="1:7" x14ac:dyDescent="0.3">
      <c r="A443" s="12" t="s">
        <v>665</v>
      </c>
      <c r="B443" s="12" t="s">
        <v>666</v>
      </c>
      <c r="C443" s="12" t="s">
        <v>18</v>
      </c>
      <c r="D443" s="12">
        <v>6</v>
      </c>
      <c r="E443" s="17">
        <v>461</v>
      </c>
      <c r="F443" s="12">
        <v>2766</v>
      </c>
      <c r="G443" s="12" t="s">
        <v>33</v>
      </c>
    </row>
    <row r="444" spans="1:7" x14ac:dyDescent="0.3">
      <c r="A444" s="12" t="s">
        <v>1057</v>
      </c>
      <c r="B444" s="12" t="s">
        <v>1059</v>
      </c>
      <c r="C444" s="12" t="s">
        <v>30</v>
      </c>
      <c r="D444" s="12">
        <v>6</v>
      </c>
      <c r="E444" s="17">
        <v>646</v>
      </c>
      <c r="F444" s="12">
        <v>3876</v>
      </c>
      <c r="G444" s="12" t="s">
        <v>33</v>
      </c>
    </row>
    <row r="445" spans="1:7" x14ac:dyDescent="0.3">
      <c r="A445" s="12" t="s">
        <v>181</v>
      </c>
      <c r="B445" s="12" t="s">
        <v>1133</v>
      </c>
      <c r="C445" s="12" t="s">
        <v>24</v>
      </c>
      <c r="D445" s="12">
        <v>6</v>
      </c>
      <c r="E445" s="17">
        <v>627</v>
      </c>
      <c r="F445" s="12">
        <v>3762</v>
      </c>
      <c r="G445" s="12" t="s">
        <v>11</v>
      </c>
    </row>
    <row r="446" spans="1:7" x14ac:dyDescent="0.3">
      <c r="A446" s="12" t="s">
        <v>444</v>
      </c>
      <c r="B446" s="12" t="s">
        <v>607</v>
      </c>
      <c r="C446" s="12" t="s">
        <v>38</v>
      </c>
      <c r="D446" s="12">
        <v>6</v>
      </c>
      <c r="E446" s="17">
        <v>491</v>
      </c>
      <c r="F446" s="12">
        <v>2946</v>
      </c>
      <c r="G446" s="12" t="s">
        <v>11</v>
      </c>
    </row>
    <row r="447" spans="1:7" x14ac:dyDescent="0.3">
      <c r="A447" s="12" t="s">
        <v>662</v>
      </c>
      <c r="B447" s="12" t="s">
        <v>663</v>
      </c>
      <c r="C447" s="12" t="s">
        <v>65</v>
      </c>
      <c r="D447" s="12">
        <v>4</v>
      </c>
      <c r="E447" s="17">
        <v>666</v>
      </c>
      <c r="F447" s="12">
        <v>2664</v>
      </c>
      <c r="G447" s="12" t="s">
        <v>11</v>
      </c>
    </row>
    <row r="448" spans="1:7" x14ac:dyDescent="0.3">
      <c r="A448" s="12" t="s">
        <v>306</v>
      </c>
      <c r="B448" s="12" t="s">
        <v>307</v>
      </c>
      <c r="C448" s="12" t="s">
        <v>18</v>
      </c>
      <c r="D448" s="12">
        <v>6</v>
      </c>
      <c r="E448" s="17">
        <v>192</v>
      </c>
      <c r="F448" s="12">
        <v>1152</v>
      </c>
      <c r="G448" s="12" t="s">
        <v>11</v>
      </c>
    </row>
    <row r="449" spans="1:7" x14ac:dyDescent="0.3">
      <c r="A449" s="12" t="s">
        <v>338</v>
      </c>
      <c r="B449" s="12" t="s">
        <v>501</v>
      </c>
      <c r="C449" s="12" t="s">
        <v>68</v>
      </c>
      <c r="D449" s="12">
        <v>1</v>
      </c>
      <c r="E449" s="17">
        <v>525</v>
      </c>
      <c r="F449" s="12">
        <v>525</v>
      </c>
      <c r="G449" s="12" t="s">
        <v>7</v>
      </c>
    </row>
    <row r="450" spans="1:7" x14ac:dyDescent="0.3">
      <c r="A450" s="12" t="s">
        <v>338</v>
      </c>
      <c r="B450" s="12" t="s">
        <v>738</v>
      </c>
      <c r="C450" s="12" t="s">
        <v>38</v>
      </c>
      <c r="D450" s="12">
        <v>5</v>
      </c>
      <c r="E450" s="17">
        <v>721</v>
      </c>
      <c r="F450" s="12">
        <v>3605</v>
      </c>
      <c r="G450" s="12" t="s">
        <v>27</v>
      </c>
    </row>
    <row r="451" spans="1:7" x14ac:dyDescent="0.3">
      <c r="A451" s="12" t="s">
        <v>338</v>
      </c>
      <c r="B451" s="12" t="s">
        <v>339</v>
      </c>
      <c r="C451" s="12" t="s">
        <v>30</v>
      </c>
      <c r="D451" s="12">
        <v>6</v>
      </c>
      <c r="E451" s="17">
        <v>784</v>
      </c>
      <c r="F451" s="12">
        <v>4704</v>
      </c>
      <c r="G451" s="12" t="s">
        <v>7</v>
      </c>
    </row>
    <row r="452" spans="1:7" x14ac:dyDescent="0.3">
      <c r="A452" s="12" t="s">
        <v>633</v>
      </c>
      <c r="B452" s="12" t="s">
        <v>1238</v>
      </c>
      <c r="C452" s="12" t="s">
        <v>6</v>
      </c>
      <c r="D452" s="12">
        <v>6</v>
      </c>
      <c r="E452" s="17">
        <v>278</v>
      </c>
      <c r="F452" s="12">
        <v>1668</v>
      </c>
      <c r="G452" s="12" t="s">
        <v>7</v>
      </c>
    </row>
    <row r="453" spans="1:7" x14ac:dyDescent="0.3">
      <c r="A453" s="12" t="s">
        <v>633</v>
      </c>
      <c r="B453" s="12" t="s">
        <v>813</v>
      </c>
      <c r="C453" s="12" t="s">
        <v>30</v>
      </c>
      <c r="D453" s="12">
        <v>4</v>
      </c>
      <c r="E453" s="17">
        <v>984</v>
      </c>
      <c r="F453" s="12">
        <v>3936</v>
      </c>
      <c r="G453" s="12" t="s">
        <v>7</v>
      </c>
    </row>
    <row r="454" spans="1:7" x14ac:dyDescent="0.3">
      <c r="A454" s="12" t="s">
        <v>158</v>
      </c>
      <c r="B454" s="12" t="s">
        <v>159</v>
      </c>
      <c r="C454" s="12" t="s">
        <v>24</v>
      </c>
      <c r="D454" s="12">
        <v>2</v>
      </c>
      <c r="E454" s="17">
        <v>179</v>
      </c>
      <c r="F454" s="12">
        <v>358</v>
      </c>
      <c r="G454" s="12" t="s">
        <v>19</v>
      </c>
    </row>
    <row r="455" spans="1:7" x14ac:dyDescent="0.3">
      <c r="A455" s="12" t="s">
        <v>158</v>
      </c>
      <c r="B455" s="12" t="s">
        <v>929</v>
      </c>
      <c r="C455" s="12" t="s">
        <v>65</v>
      </c>
      <c r="D455" s="12">
        <v>1</v>
      </c>
      <c r="E455" s="17">
        <v>951</v>
      </c>
      <c r="F455" s="12">
        <v>951</v>
      </c>
      <c r="G455" s="12" t="s">
        <v>33</v>
      </c>
    </row>
    <row r="456" spans="1:7" x14ac:dyDescent="0.3">
      <c r="A456" s="12" t="s">
        <v>614</v>
      </c>
      <c r="B456" s="12" t="s">
        <v>904</v>
      </c>
      <c r="C456" s="12" t="s">
        <v>24</v>
      </c>
      <c r="D456" s="12">
        <v>1</v>
      </c>
      <c r="E456" s="17">
        <v>735</v>
      </c>
      <c r="F456" s="12">
        <v>735</v>
      </c>
      <c r="G456" s="12" t="s">
        <v>11</v>
      </c>
    </row>
    <row r="457" spans="1:7" x14ac:dyDescent="0.3">
      <c r="A457" s="12" t="s">
        <v>528</v>
      </c>
      <c r="B457" s="12" t="s">
        <v>529</v>
      </c>
      <c r="C457" s="12" t="s">
        <v>79</v>
      </c>
      <c r="D457" s="12">
        <v>2</v>
      </c>
      <c r="E457" s="17">
        <v>527</v>
      </c>
      <c r="F457" s="12">
        <v>1054</v>
      </c>
      <c r="G457" s="12" t="s">
        <v>15</v>
      </c>
    </row>
    <row r="458" spans="1:7" x14ac:dyDescent="0.3">
      <c r="A458" s="12" t="s">
        <v>528</v>
      </c>
      <c r="B458" s="12" t="s">
        <v>970</v>
      </c>
      <c r="C458" s="12" t="s">
        <v>24</v>
      </c>
      <c r="D458" s="12">
        <v>3</v>
      </c>
      <c r="E458" s="17">
        <v>856</v>
      </c>
      <c r="F458" s="12">
        <v>2568</v>
      </c>
      <c r="G458" s="12" t="s">
        <v>15</v>
      </c>
    </row>
    <row r="459" spans="1:7" x14ac:dyDescent="0.3">
      <c r="A459" s="12" t="s">
        <v>924</v>
      </c>
      <c r="B459" s="12" t="s">
        <v>1295</v>
      </c>
      <c r="C459" s="12" t="s">
        <v>30</v>
      </c>
      <c r="D459" s="12">
        <v>5</v>
      </c>
      <c r="E459" s="17">
        <v>272</v>
      </c>
      <c r="F459" s="12">
        <v>1360</v>
      </c>
      <c r="G459" s="12" t="s">
        <v>27</v>
      </c>
    </row>
    <row r="460" spans="1:7" x14ac:dyDescent="0.3">
      <c r="A460" s="12" t="s">
        <v>104</v>
      </c>
      <c r="B460" s="12" t="s">
        <v>526</v>
      </c>
      <c r="C460" s="12" t="s">
        <v>14</v>
      </c>
      <c r="D460" s="12">
        <v>1</v>
      </c>
      <c r="E460" s="17">
        <v>376</v>
      </c>
      <c r="F460" s="12">
        <v>376</v>
      </c>
      <c r="G460" s="12" t="s">
        <v>11</v>
      </c>
    </row>
    <row r="461" spans="1:7" x14ac:dyDescent="0.3">
      <c r="A461" s="12" t="s">
        <v>104</v>
      </c>
      <c r="B461" s="12" t="s">
        <v>727</v>
      </c>
      <c r="C461" s="12" t="s">
        <v>68</v>
      </c>
      <c r="D461" s="12">
        <v>3</v>
      </c>
      <c r="E461" s="17">
        <v>792</v>
      </c>
      <c r="F461" s="12">
        <v>2376</v>
      </c>
      <c r="G461" s="12" t="s">
        <v>7</v>
      </c>
    </row>
    <row r="462" spans="1:7" x14ac:dyDescent="0.3">
      <c r="A462" s="12" t="s">
        <v>91</v>
      </c>
      <c r="B462" s="12" t="s">
        <v>581</v>
      </c>
      <c r="C462" s="12" t="s">
        <v>68</v>
      </c>
      <c r="D462" s="12">
        <v>3</v>
      </c>
      <c r="E462" s="17">
        <v>518</v>
      </c>
      <c r="F462" s="12">
        <v>1554</v>
      </c>
      <c r="G462" s="12" t="s">
        <v>11</v>
      </c>
    </row>
    <row r="463" spans="1:7" x14ac:dyDescent="0.3">
      <c r="A463" s="12" t="s">
        <v>131</v>
      </c>
      <c r="B463" s="12" t="s">
        <v>870</v>
      </c>
      <c r="C463" s="12" t="s">
        <v>65</v>
      </c>
      <c r="D463" s="12">
        <v>1</v>
      </c>
      <c r="E463" s="17">
        <v>199</v>
      </c>
      <c r="F463" s="12">
        <v>199</v>
      </c>
      <c r="G463" s="12" t="s">
        <v>7</v>
      </c>
    </row>
    <row r="464" spans="1:7" x14ac:dyDescent="0.3">
      <c r="A464" s="12" t="s">
        <v>131</v>
      </c>
      <c r="B464" s="12" t="s">
        <v>132</v>
      </c>
      <c r="C464" s="12" t="s">
        <v>14</v>
      </c>
      <c r="D464" s="12">
        <v>4</v>
      </c>
      <c r="E464" s="17">
        <v>465</v>
      </c>
      <c r="F464" s="12">
        <v>1860</v>
      </c>
      <c r="G464" s="12" t="s">
        <v>15</v>
      </c>
    </row>
    <row r="465" spans="1:7" x14ac:dyDescent="0.3">
      <c r="A465" s="12" t="s">
        <v>131</v>
      </c>
      <c r="B465" s="12" t="s">
        <v>863</v>
      </c>
      <c r="C465" s="12" t="s">
        <v>24</v>
      </c>
      <c r="D465" s="12">
        <v>6</v>
      </c>
      <c r="E465" s="17">
        <v>438</v>
      </c>
      <c r="F465" s="12">
        <v>2628</v>
      </c>
      <c r="G465" s="12" t="s">
        <v>33</v>
      </c>
    </row>
    <row r="466" spans="1:7" x14ac:dyDescent="0.3">
      <c r="A466" s="12" t="s">
        <v>827</v>
      </c>
      <c r="B466" s="12" t="s">
        <v>828</v>
      </c>
      <c r="C466" s="12" t="s">
        <v>68</v>
      </c>
      <c r="D466" s="12">
        <v>4</v>
      </c>
      <c r="E466" s="17">
        <v>759</v>
      </c>
      <c r="F466" s="12">
        <v>3036</v>
      </c>
      <c r="G466" s="12" t="s">
        <v>27</v>
      </c>
    </row>
    <row r="467" spans="1:7" x14ac:dyDescent="0.3">
      <c r="A467" s="12" t="s">
        <v>675</v>
      </c>
      <c r="B467" s="12" t="s">
        <v>676</v>
      </c>
      <c r="C467" s="12" t="s">
        <v>18</v>
      </c>
      <c r="D467" s="12">
        <v>3</v>
      </c>
      <c r="E467" s="17">
        <v>391</v>
      </c>
      <c r="F467" s="12">
        <v>1173</v>
      </c>
      <c r="G467" s="12" t="s">
        <v>11</v>
      </c>
    </row>
    <row r="468" spans="1:7" x14ac:dyDescent="0.3">
      <c r="A468" s="12" t="s">
        <v>675</v>
      </c>
      <c r="B468" s="12" t="s">
        <v>1160</v>
      </c>
      <c r="C468" s="12" t="s">
        <v>30</v>
      </c>
      <c r="D468" s="12">
        <v>5</v>
      </c>
      <c r="E468" s="17">
        <v>506</v>
      </c>
      <c r="F468" s="12">
        <v>2530</v>
      </c>
      <c r="G468" s="12" t="s">
        <v>15</v>
      </c>
    </row>
    <row r="469" spans="1:7" x14ac:dyDescent="0.3">
      <c r="A469" s="12" t="s">
        <v>302</v>
      </c>
      <c r="B469" s="12" t="s">
        <v>303</v>
      </c>
      <c r="C469" s="12" t="s">
        <v>79</v>
      </c>
      <c r="D469" s="12">
        <v>1</v>
      </c>
      <c r="E469" s="17">
        <v>255</v>
      </c>
      <c r="F469" s="12">
        <v>255</v>
      </c>
      <c r="G469" s="12" t="s">
        <v>33</v>
      </c>
    </row>
    <row r="470" spans="1:7" x14ac:dyDescent="0.3">
      <c r="A470" s="12" t="s">
        <v>302</v>
      </c>
      <c r="B470" s="12" t="s">
        <v>1000</v>
      </c>
      <c r="C470" s="12" t="s">
        <v>30</v>
      </c>
      <c r="D470" s="12">
        <v>2</v>
      </c>
      <c r="E470" s="17">
        <v>566</v>
      </c>
      <c r="F470" s="12">
        <v>1132</v>
      </c>
      <c r="G470" s="12" t="s">
        <v>19</v>
      </c>
    </row>
    <row r="471" spans="1:7" x14ac:dyDescent="0.3">
      <c r="A471" s="12" t="s">
        <v>112</v>
      </c>
      <c r="B471" s="12" t="s">
        <v>113</v>
      </c>
      <c r="C471" s="12" t="s">
        <v>6</v>
      </c>
      <c r="D471" s="12">
        <v>2</v>
      </c>
      <c r="E471" s="17">
        <v>411</v>
      </c>
      <c r="F471" s="12">
        <v>822</v>
      </c>
      <c r="G471" s="12" t="s">
        <v>11</v>
      </c>
    </row>
    <row r="472" spans="1:7" x14ac:dyDescent="0.3">
      <c r="A472" s="12" t="s">
        <v>148</v>
      </c>
      <c r="B472" s="12" t="s">
        <v>149</v>
      </c>
      <c r="C472" s="12" t="s">
        <v>79</v>
      </c>
      <c r="D472" s="12">
        <v>6</v>
      </c>
      <c r="E472" s="17">
        <v>919</v>
      </c>
      <c r="F472" s="12">
        <v>5514</v>
      </c>
      <c r="G472" s="12" t="s">
        <v>27</v>
      </c>
    </row>
    <row r="473" spans="1:7" x14ac:dyDescent="0.3">
      <c r="A473" s="12" t="s">
        <v>81</v>
      </c>
      <c r="B473" s="12" t="s">
        <v>1014</v>
      </c>
      <c r="C473" s="12" t="s">
        <v>24</v>
      </c>
      <c r="D473" s="12">
        <v>1</v>
      </c>
      <c r="E473" s="17">
        <v>313</v>
      </c>
      <c r="F473" s="12">
        <v>313</v>
      </c>
      <c r="G473" s="12" t="s">
        <v>27</v>
      </c>
    </row>
    <row r="474" spans="1:7" x14ac:dyDescent="0.3">
      <c r="A474" s="12" t="s">
        <v>81</v>
      </c>
      <c r="B474" s="12" t="s">
        <v>1012</v>
      </c>
      <c r="C474" s="12" t="s">
        <v>38</v>
      </c>
      <c r="D474" s="12">
        <v>3</v>
      </c>
      <c r="E474" s="17">
        <v>519</v>
      </c>
      <c r="F474" s="12">
        <v>1557</v>
      </c>
      <c r="G474" s="12" t="s">
        <v>19</v>
      </c>
    </row>
    <row r="475" spans="1:7" x14ac:dyDescent="0.3">
      <c r="A475" s="12" t="s">
        <v>81</v>
      </c>
      <c r="B475" s="12" t="s">
        <v>82</v>
      </c>
      <c r="C475" s="12" t="s">
        <v>24</v>
      </c>
      <c r="D475" s="12">
        <v>6</v>
      </c>
      <c r="E475" s="17">
        <v>726</v>
      </c>
      <c r="F475" s="12">
        <v>4356</v>
      </c>
      <c r="G475" s="12" t="s">
        <v>15</v>
      </c>
    </row>
    <row r="476" spans="1:7" x14ac:dyDescent="0.3">
      <c r="A476" s="12" t="s">
        <v>1102</v>
      </c>
      <c r="B476" s="12" t="s">
        <v>1104</v>
      </c>
      <c r="C476" s="12" t="s">
        <v>68</v>
      </c>
      <c r="D476" s="12">
        <v>2</v>
      </c>
      <c r="E476" s="17">
        <v>670</v>
      </c>
      <c r="F476" s="12">
        <v>1340</v>
      </c>
      <c r="G476" s="12" t="s">
        <v>27</v>
      </c>
    </row>
    <row r="477" spans="1:7" x14ac:dyDescent="0.3">
      <c r="A477" s="12" t="s">
        <v>505</v>
      </c>
      <c r="B477" s="12" t="s">
        <v>506</v>
      </c>
      <c r="C477" s="12" t="s">
        <v>68</v>
      </c>
      <c r="D477" s="12">
        <v>2</v>
      </c>
      <c r="E477" s="17">
        <v>671</v>
      </c>
      <c r="F477" s="12">
        <v>1342</v>
      </c>
      <c r="G477" s="12" t="s">
        <v>15</v>
      </c>
    </row>
    <row r="478" spans="1:7" x14ac:dyDescent="0.3">
      <c r="A478" s="12" t="s">
        <v>505</v>
      </c>
      <c r="B478" s="12" t="s">
        <v>748</v>
      </c>
      <c r="C478" s="12" t="s">
        <v>68</v>
      </c>
      <c r="D478" s="12">
        <v>6</v>
      </c>
      <c r="E478" s="17">
        <v>647</v>
      </c>
      <c r="F478" s="12">
        <v>3882</v>
      </c>
      <c r="G478" s="12" t="s">
        <v>15</v>
      </c>
    </row>
    <row r="479" spans="1:7" x14ac:dyDescent="0.3">
      <c r="A479" s="12" t="s">
        <v>576</v>
      </c>
      <c r="B479" s="12" t="s">
        <v>577</v>
      </c>
      <c r="C479" s="12" t="s">
        <v>24</v>
      </c>
      <c r="D479" s="12">
        <v>1</v>
      </c>
      <c r="E479" s="17">
        <v>142</v>
      </c>
      <c r="F479" s="12">
        <v>142</v>
      </c>
      <c r="G479" s="12" t="s">
        <v>15</v>
      </c>
    </row>
    <row r="480" spans="1:7" x14ac:dyDescent="0.3">
      <c r="A480" s="12" t="s">
        <v>576</v>
      </c>
      <c r="B480" s="12" t="s">
        <v>1312</v>
      </c>
      <c r="C480" s="12" t="s">
        <v>6</v>
      </c>
      <c r="D480" s="12">
        <v>4</v>
      </c>
      <c r="E480" s="17">
        <v>378</v>
      </c>
      <c r="F480" s="12">
        <v>1512</v>
      </c>
      <c r="G480" s="12" t="s">
        <v>27</v>
      </c>
    </row>
    <row r="481" spans="1:7" x14ac:dyDescent="0.3">
      <c r="A481" s="12" t="s">
        <v>736</v>
      </c>
      <c r="B481" s="12" t="s">
        <v>737</v>
      </c>
      <c r="C481" s="12" t="s">
        <v>79</v>
      </c>
      <c r="D481" s="12">
        <v>4</v>
      </c>
      <c r="E481" s="17">
        <v>321</v>
      </c>
      <c r="F481" s="12">
        <v>1284</v>
      </c>
      <c r="G481" s="12" t="s">
        <v>7</v>
      </c>
    </row>
    <row r="482" spans="1:7" x14ac:dyDescent="0.3">
      <c r="A482" s="12" t="s">
        <v>314</v>
      </c>
      <c r="B482" s="12" t="s">
        <v>1230</v>
      </c>
      <c r="C482" s="12" t="s">
        <v>6</v>
      </c>
      <c r="D482" s="12">
        <v>1</v>
      </c>
      <c r="E482" s="17">
        <v>406</v>
      </c>
      <c r="F482" s="12">
        <v>406</v>
      </c>
      <c r="G482" s="12" t="s">
        <v>11</v>
      </c>
    </row>
    <row r="483" spans="1:7" x14ac:dyDescent="0.3">
      <c r="A483" s="12" t="s">
        <v>51</v>
      </c>
      <c r="B483" s="12" t="s">
        <v>52</v>
      </c>
      <c r="C483" s="12" t="s">
        <v>10</v>
      </c>
      <c r="D483" s="12">
        <v>2</v>
      </c>
      <c r="E483" s="17">
        <v>134</v>
      </c>
      <c r="F483" s="12">
        <v>268</v>
      </c>
      <c r="G483" s="12" t="s">
        <v>11</v>
      </c>
    </row>
    <row r="484" spans="1:7" x14ac:dyDescent="0.3">
      <c r="A484" s="12" t="s">
        <v>221</v>
      </c>
      <c r="B484" s="12" t="s">
        <v>972</v>
      </c>
      <c r="C484" s="12" t="s">
        <v>6</v>
      </c>
      <c r="D484" s="12">
        <v>1</v>
      </c>
      <c r="E484" s="17">
        <v>240</v>
      </c>
      <c r="F484" s="12">
        <v>240</v>
      </c>
      <c r="G484" s="12" t="s">
        <v>7</v>
      </c>
    </row>
    <row r="485" spans="1:7" x14ac:dyDescent="0.3">
      <c r="A485" s="12" t="s">
        <v>221</v>
      </c>
      <c r="B485" s="12" t="s">
        <v>424</v>
      </c>
      <c r="C485" s="12" t="s">
        <v>24</v>
      </c>
      <c r="D485" s="12">
        <v>5</v>
      </c>
      <c r="E485" s="17">
        <v>564</v>
      </c>
      <c r="F485" s="12">
        <v>2820</v>
      </c>
      <c r="G485" s="12" t="s">
        <v>19</v>
      </c>
    </row>
    <row r="486" spans="1:7" x14ac:dyDescent="0.3">
      <c r="A486" s="12" t="s">
        <v>221</v>
      </c>
      <c r="B486" s="12" t="s">
        <v>968</v>
      </c>
      <c r="C486" s="12" t="s">
        <v>68</v>
      </c>
      <c r="D486" s="12">
        <v>5</v>
      </c>
      <c r="E486" s="17">
        <v>906</v>
      </c>
      <c r="F486" s="12">
        <v>4530</v>
      </c>
      <c r="G486" s="12" t="s">
        <v>27</v>
      </c>
    </row>
    <row r="487" spans="1:7" x14ac:dyDescent="0.3">
      <c r="A487" s="12" t="s">
        <v>184</v>
      </c>
      <c r="B487" s="12" t="s">
        <v>237</v>
      </c>
      <c r="C487" s="12" t="s">
        <v>38</v>
      </c>
      <c r="D487" s="12">
        <v>3</v>
      </c>
      <c r="E487" s="17">
        <v>342</v>
      </c>
      <c r="F487" s="12">
        <v>1026</v>
      </c>
      <c r="G487" s="12" t="s">
        <v>11</v>
      </c>
    </row>
    <row r="488" spans="1:7" x14ac:dyDescent="0.3">
      <c r="A488" s="12" t="s">
        <v>184</v>
      </c>
      <c r="B488" s="12" t="s">
        <v>469</v>
      </c>
      <c r="C488" s="12" t="s">
        <v>18</v>
      </c>
      <c r="D488" s="12">
        <v>5</v>
      </c>
      <c r="E488" s="17">
        <v>682</v>
      </c>
      <c r="F488" s="12">
        <v>3410</v>
      </c>
      <c r="G488" s="12" t="s">
        <v>33</v>
      </c>
    </row>
    <row r="489" spans="1:7" x14ac:dyDescent="0.3">
      <c r="A489" s="12" t="s">
        <v>619</v>
      </c>
      <c r="B489" s="12" t="s">
        <v>606</v>
      </c>
      <c r="C489" s="12" t="s">
        <v>30</v>
      </c>
      <c r="D489" s="12">
        <v>1</v>
      </c>
      <c r="E489" s="17">
        <v>460</v>
      </c>
      <c r="F489" s="12">
        <v>460</v>
      </c>
      <c r="G489" s="12" t="s">
        <v>19</v>
      </c>
    </row>
    <row r="490" spans="1:7" x14ac:dyDescent="0.3">
      <c r="A490" s="12" t="s">
        <v>619</v>
      </c>
      <c r="B490" s="12" t="s">
        <v>758</v>
      </c>
      <c r="C490" s="12" t="s">
        <v>18</v>
      </c>
      <c r="D490" s="12">
        <v>3</v>
      </c>
      <c r="E490" s="17">
        <v>911</v>
      </c>
      <c r="F490" s="12">
        <v>2733</v>
      </c>
      <c r="G490" s="12" t="s">
        <v>7</v>
      </c>
    </row>
    <row r="491" spans="1:7" x14ac:dyDescent="0.3">
      <c r="A491" s="12" t="s">
        <v>402</v>
      </c>
      <c r="B491" s="12" t="s">
        <v>707</v>
      </c>
      <c r="C491" s="12" t="s">
        <v>6</v>
      </c>
      <c r="D491" s="12">
        <v>6</v>
      </c>
      <c r="E491" s="17">
        <v>775</v>
      </c>
      <c r="F491" s="12">
        <v>4650</v>
      </c>
      <c r="G491" s="12" t="s">
        <v>19</v>
      </c>
    </row>
    <row r="492" spans="1:7" x14ac:dyDescent="0.3">
      <c r="A492" s="12" t="s">
        <v>73</v>
      </c>
      <c r="B492" s="12" t="s">
        <v>74</v>
      </c>
      <c r="C492" s="12" t="s">
        <v>24</v>
      </c>
      <c r="D492" s="12">
        <v>4</v>
      </c>
      <c r="E492" s="17">
        <v>378</v>
      </c>
      <c r="F492" s="12">
        <v>1512</v>
      </c>
      <c r="G492" s="12" t="s">
        <v>19</v>
      </c>
    </row>
    <row r="493" spans="1:7" x14ac:dyDescent="0.3">
      <c r="A493" s="12" t="s">
        <v>48</v>
      </c>
      <c r="B493" s="12" t="s">
        <v>1258</v>
      </c>
      <c r="C493" s="12" t="s">
        <v>79</v>
      </c>
      <c r="D493" s="12">
        <v>5</v>
      </c>
      <c r="E493" s="17">
        <v>208</v>
      </c>
      <c r="F493" s="12">
        <v>1040</v>
      </c>
      <c r="G493" s="12" t="s">
        <v>11</v>
      </c>
    </row>
    <row r="494" spans="1:7" x14ac:dyDescent="0.3">
      <c r="A494" s="12" t="s">
        <v>48</v>
      </c>
      <c r="B494" s="12" t="s">
        <v>1060</v>
      </c>
      <c r="C494" s="12" t="s">
        <v>18</v>
      </c>
      <c r="D494" s="12">
        <v>2</v>
      </c>
      <c r="E494" s="17">
        <v>790</v>
      </c>
      <c r="F494" s="12">
        <v>1580</v>
      </c>
      <c r="G494" s="12" t="s">
        <v>19</v>
      </c>
    </row>
    <row r="495" spans="1:7" x14ac:dyDescent="0.3">
      <c r="A495" s="12" t="s">
        <v>283</v>
      </c>
      <c r="B495" s="12" t="s">
        <v>285</v>
      </c>
      <c r="C495" s="12" t="s">
        <v>18</v>
      </c>
      <c r="D495" s="12">
        <v>5</v>
      </c>
      <c r="E495" s="17">
        <v>211</v>
      </c>
      <c r="F495" s="12">
        <v>1055</v>
      </c>
      <c r="G495" s="12" t="s">
        <v>7</v>
      </c>
    </row>
    <row r="496" spans="1:7" x14ac:dyDescent="0.3">
      <c r="A496" s="12" t="s">
        <v>283</v>
      </c>
      <c r="B496" s="12" t="s">
        <v>622</v>
      </c>
      <c r="C496" s="12" t="s">
        <v>24</v>
      </c>
      <c r="D496" s="12">
        <v>5</v>
      </c>
      <c r="E496" s="17">
        <v>625</v>
      </c>
      <c r="F496" s="12">
        <v>3125</v>
      </c>
      <c r="G496" s="12" t="s">
        <v>33</v>
      </c>
    </row>
    <row r="497" spans="1:7" x14ac:dyDescent="0.3">
      <c r="A497" s="12" t="s">
        <v>16</v>
      </c>
      <c r="B497" s="12" t="s">
        <v>642</v>
      </c>
      <c r="C497" s="12" t="s">
        <v>18</v>
      </c>
      <c r="D497" s="12">
        <v>1</v>
      </c>
      <c r="E497" s="17">
        <v>746</v>
      </c>
      <c r="F497" s="12">
        <v>746</v>
      </c>
      <c r="G497" s="12" t="s">
        <v>15</v>
      </c>
    </row>
    <row r="498" spans="1:7" x14ac:dyDescent="0.3">
      <c r="A498" s="12" t="s">
        <v>16</v>
      </c>
      <c r="B498" s="12" t="s">
        <v>17</v>
      </c>
      <c r="C498" s="12" t="s">
        <v>18</v>
      </c>
      <c r="D498" s="12">
        <v>5</v>
      </c>
      <c r="E498" s="17">
        <v>811</v>
      </c>
      <c r="F498" s="12">
        <v>4055</v>
      </c>
      <c r="G498" s="12" t="s">
        <v>19</v>
      </c>
    </row>
    <row r="499" spans="1:7" x14ac:dyDescent="0.3">
      <c r="A499" s="12" t="s">
        <v>448</v>
      </c>
      <c r="B499" s="12" t="s">
        <v>820</v>
      </c>
      <c r="C499" s="12" t="s">
        <v>65</v>
      </c>
      <c r="D499" s="12">
        <v>4</v>
      </c>
      <c r="E499" s="17">
        <v>840</v>
      </c>
      <c r="F499" s="12">
        <v>3360</v>
      </c>
      <c r="G499" s="12" t="s">
        <v>15</v>
      </c>
    </row>
    <row r="500" spans="1:7" x14ac:dyDescent="0.3">
      <c r="A500" s="12" t="s">
        <v>467</v>
      </c>
      <c r="B500" s="12" t="s">
        <v>1332</v>
      </c>
      <c r="C500" s="12" t="s">
        <v>24</v>
      </c>
      <c r="D500" s="12">
        <v>3</v>
      </c>
      <c r="E500" s="17">
        <v>691</v>
      </c>
      <c r="F500" s="12">
        <v>2073</v>
      </c>
      <c r="G500" s="12" t="s">
        <v>19</v>
      </c>
    </row>
    <row r="501" spans="1:7" x14ac:dyDescent="0.3">
      <c r="A501" s="12" t="s">
        <v>116</v>
      </c>
      <c r="B501" s="12" t="s">
        <v>637</v>
      </c>
      <c r="C501" s="12" t="s">
        <v>79</v>
      </c>
      <c r="D501" s="12">
        <v>3</v>
      </c>
      <c r="E501" s="17">
        <v>832</v>
      </c>
      <c r="F501" s="12">
        <v>2496</v>
      </c>
      <c r="G501" s="12" t="s">
        <v>33</v>
      </c>
    </row>
    <row r="502" spans="1:7" x14ac:dyDescent="0.3">
      <c r="A502" s="13" t="s">
        <v>439</v>
      </c>
      <c r="B502" s="13" t="s">
        <v>1129</v>
      </c>
      <c r="C502" s="13" t="s">
        <v>65</v>
      </c>
      <c r="D502" s="12">
        <v>3</v>
      </c>
      <c r="E502" s="16">
        <v>627.33333333333337</v>
      </c>
      <c r="F502" s="13">
        <v>1882</v>
      </c>
      <c r="G502" s="13" t="s">
        <v>15</v>
      </c>
    </row>
    <row r="503" spans="1:7" x14ac:dyDescent="0.3">
      <c r="A503" s="13" t="s">
        <v>1003</v>
      </c>
      <c r="B503" s="13" t="s">
        <v>1004</v>
      </c>
      <c r="C503" s="13" t="s">
        <v>65</v>
      </c>
      <c r="D503" s="12">
        <v>3</v>
      </c>
      <c r="E503" s="16">
        <v>627.33333333333337</v>
      </c>
      <c r="F503" s="13">
        <v>1882</v>
      </c>
      <c r="G503" s="13" t="s">
        <v>33</v>
      </c>
    </row>
    <row r="504" spans="1:7" x14ac:dyDescent="0.3">
      <c r="A504" s="13" t="s">
        <v>436</v>
      </c>
      <c r="B504" s="13" t="s">
        <v>516</v>
      </c>
      <c r="C504" s="13" t="s">
        <v>30</v>
      </c>
      <c r="D504" s="12">
        <v>3</v>
      </c>
      <c r="E504" s="16">
        <v>627.33333333333337</v>
      </c>
      <c r="F504" s="13">
        <v>1882</v>
      </c>
      <c r="G504" s="13" t="s">
        <v>15</v>
      </c>
    </row>
    <row r="505" spans="1:7" x14ac:dyDescent="0.3">
      <c r="A505" s="13" t="s">
        <v>979</v>
      </c>
      <c r="B505" s="13" t="s">
        <v>980</v>
      </c>
      <c r="C505" s="13" t="s">
        <v>38</v>
      </c>
      <c r="D505" s="12">
        <v>3</v>
      </c>
      <c r="E505" s="16">
        <v>627.33333333333337</v>
      </c>
      <c r="F505" s="13">
        <v>1882</v>
      </c>
      <c r="G505" s="13" t="s">
        <v>27</v>
      </c>
    </row>
    <row r="506" spans="1:7" x14ac:dyDescent="0.3">
      <c r="A506" s="13" t="s">
        <v>324</v>
      </c>
      <c r="B506" s="13" t="s">
        <v>1198</v>
      </c>
      <c r="C506" s="13" t="s">
        <v>6</v>
      </c>
      <c r="D506" s="12">
        <v>3</v>
      </c>
      <c r="E506" s="16">
        <v>120</v>
      </c>
      <c r="F506" s="13">
        <v>360</v>
      </c>
      <c r="G506" s="13" t="s">
        <v>27</v>
      </c>
    </row>
    <row r="507" spans="1:7" x14ac:dyDescent="0.3">
      <c r="A507" s="13" t="s">
        <v>509</v>
      </c>
      <c r="B507" s="13" t="s">
        <v>510</v>
      </c>
      <c r="C507" s="13" t="s">
        <v>10</v>
      </c>
      <c r="D507" s="12">
        <v>3</v>
      </c>
      <c r="E507" s="16">
        <v>370</v>
      </c>
      <c r="F507" s="13">
        <v>1110</v>
      </c>
      <c r="G507" s="13" t="s">
        <v>15</v>
      </c>
    </row>
    <row r="508" spans="1:7" x14ac:dyDescent="0.3">
      <c r="A508" s="13" t="s">
        <v>371</v>
      </c>
      <c r="B508" s="13" t="s">
        <v>892</v>
      </c>
      <c r="C508" s="13" t="s">
        <v>65</v>
      </c>
      <c r="D508" s="12">
        <v>3</v>
      </c>
      <c r="E508" s="16">
        <v>328</v>
      </c>
      <c r="F508" s="13">
        <v>984</v>
      </c>
      <c r="G508" s="13" t="s">
        <v>19</v>
      </c>
    </row>
    <row r="509" spans="1:7" x14ac:dyDescent="0.3">
      <c r="A509" s="13" t="s">
        <v>533</v>
      </c>
      <c r="B509" s="13" t="s">
        <v>534</v>
      </c>
      <c r="C509" s="13" t="s">
        <v>68</v>
      </c>
      <c r="D509" s="12">
        <v>3</v>
      </c>
      <c r="E509" s="16">
        <v>303</v>
      </c>
      <c r="F509" s="13">
        <v>909</v>
      </c>
      <c r="G509" s="13" t="s">
        <v>27</v>
      </c>
    </row>
    <row r="510" spans="1:7" x14ac:dyDescent="0.3">
      <c r="A510" s="13" t="s">
        <v>902</v>
      </c>
      <c r="B510" s="13" t="s">
        <v>1327</v>
      </c>
      <c r="C510" s="13" t="s">
        <v>38</v>
      </c>
      <c r="D510" s="12">
        <v>3</v>
      </c>
      <c r="E510" s="16">
        <v>655</v>
      </c>
      <c r="F510" s="13">
        <v>1965</v>
      </c>
      <c r="G510" s="13" t="s">
        <v>11</v>
      </c>
    </row>
    <row r="511" spans="1:7" x14ac:dyDescent="0.3">
      <c r="A511" s="13" t="s">
        <v>123</v>
      </c>
      <c r="B511" s="13" t="s">
        <v>124</v>
      </c>
      <c r="C511" s="13" t="s">
        <v>18</v>
      </c>
      <c r="D511" s="12">
        <v>3</v>
      </c>
      <c r="E511" s="16">
        <v>108</v>
      </c>
      <c r="F511" s="13">
        <v>324</v>
      </c>
      <c r="G511" s="13" t="s">
        <v>15</v>
      </c>
    </row>
    <row r="512" spans="1:7" x14ac:dyDescent="0.3">
      <c r="A512" s="13" t="s">
        <v>230</v>
      </c>
      <c r="B512" s="13" t="s">
        <v>1028</v>
      </c>
      <c r="C512" s="13" t="s">
        <v>14</v>
      </c>
      <c r="D512" s="12">
        <v>3</v>
      </c>
      <c r="E512" s="16">
        <v>229</v>
      </c>
      <c r="F512" s="13">
        <v>687</v>
      </c>
      <c r="G512" s="13" t="s">
        <v>33</v>
      </c>
    </row>
    <row r="513" spans="1:7" x14ac:dyDescent="0.3">
      <c r="A513" s="13" t="s">
        <v>652</v>
      </c>
      <c r="B513" s="13" t="s">
        <v>1336</v>
      </c>
      <c r="C513" s="13" t="s">
        <v>30</v>
      </c>
      <c r="D513" s="12">
        <v>3</v>
      </c>
      <c r="E513" s="16">
        <v>557</v>
      </c>
      <c r="F513" s="13">
        <v>1671</v>
      </c>
      <c r="G513" s="13" t="s">
        <v>7</v>
      </c>
    </row>
    <row r="514" spans="1:7" x14ac:dyDescent="0.3">
      <c r="A514" s="13" t="s">
        <v>552</v>
      </c>
      <c r="B514" s="13" t="s">
        <v>854</v>
      </c>
      <c r="C514" s="13" t="s">
        <v>14</v>
      </c>
      <c r="D514" s="12">
        <v>3</v>
      </c>
      <c r="E514" s="16">
        <v>623</v>
      </c>
      <c r="F514" s="13">
        <v>1869</v>
      </c>
      <c r="G514" s="13" t="s">
        <v>33</v>
      </c>
    </row>
    <row r="515" spans="1:7" x14ac:dyDescent="0.3">
      <c r="A515" s="13" t="s">
        <v>61</v>
      </c>
      <c r="B515" s="13" t="s">
        <v>557</v>
      </c>
      <c r="C515" s="13" t="s">
        <v>14</v>
      </c>
      <c r="D515" s="12">
        <v>3</v>
      </c>
      <c r="E515" s="16">
        <v>370</v>
      </c>
      <c r="F515" s="13">
        <v>1110</v>
      </c>
      <c r="G515" s="13" t="s">
        <v>19</v>
      </c>
    </row>
    <row r="516" spans="1:7" x14ac:dyDescent="0.3">
      <c r="A516" s="13" t="s">
        <v>134</v>
      </c>
      <c r="B516" s="13" t="s">
        <v>617</v>
      </c>
      <c r="C516" s="13" t="s">
        <v>10</v>
      </c>
      <c r="D516" s="12">
        <v>3</v>
      </c>
      <c r="E516" s="16">
        <v>424</v>
      </c>
      <c r="F516" s="13">
        <v>1272</v>
      </c>
      <c r="G516" s="13" t="s">
        <v>19</v>
      </c>
    </row>
    <row r="517" spans="1:7" x14ac:dyDescent="0.3">
      <c r="A517" s="13" t="s">
        <v>418</v>
      </c>
      <c r="B517" s="13" t="s">
        <v>419</v>
      </c>
      <c r="C517" s="13" t="s">
        <v>30</v>
      </c>
      <c r="D517" s="12">
        <v>3</v>
      </c>
      <c r="E517" s="16">
        <v>360</v>
      </c>
      <c r="F517" s="13">
        <v>1080</v>
      </c>
      <c r="G517" s="13" t="s">
        <v>19</v>
      </c>
    </row>
    <row r="518" spans="1:7" x14ac:dyDescent="0.3">
      <c r="A518" s="13" t="s">
        <v>283</v>
      </c>
      <c r="B518" s="13" t="s">
        <v>933</v>
      </c>
      <c r="C518" s="13" t="s">
        <v>14</v>
      </c>
      <c r="D518" s="12">
        <v>3</v>
      </c>
      <c r="E518" s="16">
        <v>538</v>
      </c>
      <c r="F518" s="13">
        <v>1614</v>
      </c>
      <c r="G518" s="13" t="s">
        <v>7</v>
      </c>
    </row>
    <row r="519" spans="1:7" x14ac:dyDescent="0.3">
      <c r="A519" s="13" t="s">
        <v>28</v>
      </c>
      <c r="B519" s="13" t="s">
        <v>234</v>
      </c>
      <c r="C519" s="13" t="s">
        <v>24</v>
      </c>
      <c r="D519" s="13">
        <v>4</v>
      </c>
      <c r="E519" s="16">
        <v>470.5</v>
      </c>
      <c r="F519" s="13">
        <v>1882</v>
      </c>
      <c r="G519" s="13" t="s">
        <v>11</v>
      </c>
    </row>
    <row r="520" spans="1:7" x14ac:dyDescent="0.3">
      <c r="A520" s="13" t="s">
        <v>997</v>
      </c>
      <c r="B520" s="13" t="s">
        <v>999</v>
      </c>
      <c r="C520" s="13" t="s">
        <v>30</v>
      </c>
      <c r="D520" s="13">
        <v>6</v>
      </c>
      <c r="E520" s="16">
        <v>313.66666666666669</v>
      </c>
      <c r="F520" s="13">
        <v>1882</v>
      </c>
      <c r="G520" s="13" t="s">
        <v>19</v>
      </c>
    </row>
    <row r="521" spans="1:7" x14ac:dyDescent="0.3">
      <c r="A521" s="13" t="s">
        <v>166</v>
      </c>
      <c r="B521" s="13" t="s">
        <v>1217</v>
      </c>
      <c r="C521" s="13" t="s">
        <v>68</v>
      </c>
      <c r="D521" s="13">
        <v>4</v>
      </c>
      <c r="E521" s="16">
        <v>470.5</v>
      </c>
      <c r="F521" s="13">
        <v>1882</v>
      </c>
      <c r="G521" s="13" t="s">
        <v>19</v>
      </c>
    </row>
    <row r="522" spans="1:7" x14ac:dyDescent="0.3">
      <c r="A522" s="13" t="s">
        <v>731</v>
      </c>
      <c r="B522" s="13" t="s">
        <v>732</v>
      </c>
      <c r="C522" s="13" t="s">
        <v>14</v>
      </c>
      <c r="D522" s="13">
        <v>1</v>
      </c>
      <c r="E522" s="16">
        <v>1882</v>
      </c>
      <c r="F522" s="13">
        <v>1882</v>
      </c>
      <c r="G522" s="13" t="s">
        <v>33</v>
      </c>
    </row>
    <row r="523" spans="1:7" x14ac:dyDescent="0.3">
      <c r="A523" s="13" t="s">
        <v>249</v>
      </c>
      <c r="B523" s="13" t="s">
        <v>321</v>
      </c>
      <c r="C523" s="13" t="s">
        <v>24</v>
      </c>
      <c r="D523" s="13">
        <v>5</v>
      </c>
      <c r="E523" s="16">
        <v>376.4</v>
      </c>
      <c r="F523" s="13">
        <v>1882</v>
      </c>
      <c r="G523" s="13" t="s">
        <v>19</v>
      </c>
    </row>
    <row r="524" spans="1:7" x14ac:dyDescent="0.3">
      <c r="A524" s="13" t="s">
        <v>129</v>
      </c>
      <c r="B524" s="13" t="s">
        <v>688</v>
      </c>
      <c r="C524" s="13" t="s">
        <v>30</v>
      </c>
      <c r="D524" s="13">
        <v>1</v>
      </c>
      <c r="E524" s="16">
        <v>1882</v>
      </c>
      <c r="F524" s="13">
        <v>1882</v>
      </c>
      <c r="G524" s="13" t="s">
        <v>33</v>
      </c>
    </row>
    <row r="525" spans="1:7" x14ac:dyDescent="0.3">
      <c r="A525" s="13" t="s">
        <v>420</v>
      </c>
      <c r="B525" s="13" t="s">
        <v>1281</v>
      </c>
      <c r="C525" s="13" t="s">
        <v>10</v>
      </c>
      <c r="D525" s="13">
        <v>6</v>
      </c>
      <c r="E525" s="16">
        <v>313.66666666666669</v>
      </c>
      <c r="F525" s="13">
        <v>1882</v>
      </c>
      <c r="G525" s="13" t="s">
        <v>7</v>
      </c>
    </row>
    <row r="526" spans="1:7" x14ac:dyDescent="0.3">
      <c r="A526" s="13" t="s">
        <v>162</v>
      </c>
      <c r="B526" s="13" t="s">
        <v>1218</v>
      </c>
      <c r="C526" s="13" t="s">
        <v>14</v>
      </c>
      <c r="D526" s="13">
        <v>5</v>
      </c>
      <c r="E526" s="16">
        <v>376.4</v>
      </c>
      <c r="F526" s="13">
        <v>1882</v>
      </c>
      <c r="G526" s="13" t="s">
        <v>19</v>
      </c>
    </row>
    <row r="527" spans="1:7" x14ac:dyDescent="0.3">
      <c r="A527" s="13" t="s">
        <v>414</v>
      </c>
      <c r="B527" s="13" t="s">
        <v>706</v>
      </c>
      <c r="C527" s="13" t="s">
        <v>68</v>
      </c>
      <c r="D527" s="13">
        <v>6</v>
      </c>
      <c r="E527" s="16">
        <v>313.66666666666669</v>
      </c>
      <c r="F527" s="13">
        <v>1882</v>
      </c>
      <c r="G527" s="13" t="s">
        <v>11</v>
      </c>
    </row>
    <row r="528" spans="1:7" x14ac:dyDescent="0.3">
      <c r="A528" s="13" t="s">
        <v>168</v>
      </c>
      <c r="B528" s="13" t="s">
        <v>879</v>
      </c>
      <c r="C528" s="13" t="s">
        <v>68</v>
      </c>
      <c r="D528" s="13">
        <v>6</v>
      </c>
      <c r="E528" s="16">
        <v>313.66666666666669</v>
      </c>
      <c r="F528" s="13">
        <v>1882</v>
      </c>
      <c r="G528" s="13" t="s">
        <v>27</v>
      </c>
    </row>
    <row r="529" spans="1:7" x14ac:dyDescent="0.3">
      <c r="A529" s="13" t="s">
        <v>262</v>
      </c>
      <c r="B529" s="13" t="s">
        <v>814</v>
      </c>
      <c r="C529" s="13" t="s">
        <v>65</v>
      </c>
      <c r="D529" s="13">
        <v>3</v>
      </c>
      <c r="E529" s="16">
        <v>627.33333333333337</v>
      </c>
      <c r="F529" s="13">
        <v>1882</v>
      </c>
      <c r="G529" s="13" t="s">
        <v>15</v>
      </c>
    </row>
    <row r="530" spans="1:7" x14ac:dyDescent="0.3">
      <c r="A530" s="13" t="s">
        <v>503</v>
      </c>
      <c r="B530" s="13" t="s">
        <v>549</v>
      </c>
      <c r="C530" s="13" t="s">
        <v>18</v>
      </c>
      <c r="D530" s="13">
        <v>6</v>
      </c>
      <c r="E530" s="16">
        <v>313.66666666666669</v>
      </c>
      <c r="F530" s="13">
        <v>1882</v>
      </c>
      <c r="G530" s="13" t="s">
        <v>19</v>
      </c>
    </row>
    <row r="531" spans="1:7" x14ac:dyDescent="0.3">
      <c r="A531" s="13" t="s">
        <v>538</v>
      </c>
      <c r="B531" s="13" t="s">
        <v>540</v>
      </c>
      <c r="C531" s="13" t="s">
        <v>30</v>
      </c>
      <c r="D531" s="13">
        <v>3</v>
      </c>
      <c r="E531" s="16">
        <v>627.33333333333337</v>
      </c>
      <c r="F531" s="13">
        <v>1882</v>
      </c>
      <c r="G531" s="13" t="s">
        <v>15</v>
      </c>
    </row>
    <row r="532" spans="1:7" x14ac:dyDescent="0.3">
      <c r="A532" s="13" t="s">
        <v>193</v>
      </c>
      <c r="B532" s="13" t="s">
        <v>1297</v>
      </c>
      <c r="C532" s="13" t="s">
        <v>14</v>
      </c>
      <c r="D532" s="13">
        <v>3</v>
      </c>
      <c r="E532" s="16">
        <v>627.33333333333337</v>
      </c>
      <c r="F532" s="13">
        <v>1882</v>
      </c>
      <c r="G532" s="13" t="s">
        <v>27</v>
      </c>
    </row>
    <row r="533" spans="1:7" x14ac:dyDescent="0.3">
      <c r="A533" s="13" t="s">
        <v>1096</v>
      </c>
      <c r="B533" s="13" t="s">
        <v>1143</v>
      </c>
      <c r="C533" s="13" t="s">
        <v>68</v>
      </c>
      <c r="D533" s="13">
        <v>2</v>
      </c>
      <c r="E533" s="16">
        <v>941</v>
      </c>
      <c r="F533" s="13">
        <v>1882</v>
      </c>
      <c r="G533" s="13" t="s">
        <v>33</v>
      </c>
    </row>
    <row r="534" spans="1:7" x14ac:dyDescent="0.3">
      <c r="A534" s="13" t="s">
        <v>166</v>
      </c>
      <c r="B534" s="13" t="s">
        <v>167</v>
      </c>
      <c r="C534" s="13" t="s">
        <v>38</v>
      </c>
      <c r="D534" s="12">
        <v>3</v>
      </c>
      <c r="E534" s="16">
        <v>850</v>
      </c>
      <c r="F534" s="13">
        <v>2550</v>
      </c>
      <c r="G534" s="13" t="s">
        <v>27</v>
      </c>
    </row>
    <row r="535" spans="1:7" x14ac:dyDescent="0.3">
      <c r="A535" s="13" t="s">
        <v>623</v>
      </c>
      <c r="B535" s="13" t="s">
        <v>625</v>
      </c>
      <c r="C535" s="13" t="s">
        <v>14</v>
      </c>
      <c r="D535" s="12">
        <v>3</v>
      </c>
      <c r="E535" s="16">
        <v>701.66666666666663</v>
      </c>
      <c r="F535" s="13">
        <v>2105</v>
      </c>
      <c r="G535" s="13" t="s">
        <v>11</v>
      </c>
    </row>
    <row r="536" spans="1:7" x14ac:dyDescent="0.3">
      <c r="A536" s="13" t="s">
        <v>87</v>
      </c>
      <c r="B536" s="13" t="s">
        <v>1141</v>
      </c>
      <c r="C536" s="13" t="s">
        <v>38</v>
      </c>
      <c r="D536" s="12">
        <v>3</v>
      </c>
      <c r="E536" s="16">
        <v>171.33333333333334</v>
      </c>
      <c r="F536" s="13">
        <v>514</v>
      </c>
      <c r="G536" s="13" t="s">
        <v>33</v>
      </c>
    </row>
    <row r="537" spans="1:7" x14ac:dyDescent="0.3">
      <c r="A537" s="13" t="s">
        <v>1135</v>
      </c>
      <c r="B537" s="13" t="s">
        <v>1136</v>
      </c>
      <c r="C537" s="13" t="s">
        <v>14</v>
      </c>
      <c r="D537" s="12">
        <v>3</v>
      </c>
      <c r="E537" s="16">
        <v>150.66666666666666</v>
      </c>
      <c r="F537" s="13">
        <v>452</v>
      </c>
      <c r="G537" s="13" t="s">
        <v>7</v>
      </c>
    </row>
    <row r="538" spans="1:7" x14ac:dyDescent="0.3">
      <c r="A538" s="13" t="s">
        <v>817</v>
      </c>
      <c r="B538" s="13" t="s">
        <v>866</v>
      </c>
      <c r="C538" s="13" t="s">
        <v>38</v>
      </c>
      <c r="D538" s="12">
        <v>3</v>
      </c>
      <c r="E538" s="16">
        <v>1184</v>
      </c>
      <c r="F538" s="13">
        <v>3552</v>
      </c>
      <c r="G538" s="13" t="s">
        <v>15</v>
      </c>
    </row>
    <row r="539" spans="1:7" x14ac:dyDescent="0.3">
      <c r="A539" s="13" t="s">
        <v>650</v>
      </c>
      <c r="B539" s="13" t="s">
        <v>651</v>
      </c>
      <c r="C539" s="13" t="s">
        <v>79</v>
      </c>
      <c r="D539" s="12">
        <v>3</v>
      </c>
      <c r="E539" s="16">
        <v>864</v>
      </c>
      <c r="F539" s="13">
        <v>2592</v>
      </c>
      <c r="G539" s="13" t="s">
        <v>19</v>
      </c>
    </row>
    <row r="540" spans="1:7" x14ac:dyDescent="0.3">
      <c r="A540" s="13" t="s">
        <v>670</v>
      </c>
      <c r="B540" s="13" t="s">
        <v>785</v>
      </c>
      <c r="C540" s="13" t="s">
        <v>18</v>
      </c>
      <c r="D540" s="12">
        <v>3</v>
      </c>
      <c r="E540" s="16">
        <v>676</v>
      </c>
      <c r="F540" s="13">
        <v>2028</v>
      </c>
      <c r="G540" s="13" t="s">
        <v>33</v>
      </c>
    </row>
    <row r="541" spans="1:7" x14ac:dyDescent="0.3">
      <c r="A541" s="13" t="s">
        <v>196</v>
      </c>
      <c r="B541" s="13" t="s">
        <v>197</v>
      </c>
      <c r="C541" s="13" t="s">
        <v>38</v>
      </c>
      <c r="D541" s="12">
        <v>3</v>
      </c>
      <c r="E541" s="16">
        <v>425</v>
      </c>
      <c r="F541" s="13">
        <v>1275</v>
      </c>
      <c r="G541" s="13" t="s">
        <v>7</v>
      </c>
    </row>
    <row r="542" spans="1:7" x14ac:dyDescent="0.3">
      <c r="A542" s="13" t="s">
        <v>480</v>
      </c>
      <c r="B542" s="13" t="s">
        <v>774</v>
      </c>
      <c r="C542" s="13" t="s">
        <v>6</v>
      </c>
      <c r="D542" s="12">
        <v>3</v>
      </c>
      <c r="E542" s="16">
        <v>123.66666666666667</v>
      </c>
      <c r="F542" s="13">
        <v>371</v>
      </c>
      <c r="G542" s="13" t="s">
        <v>11</v>
      </c>
    </row>
    <row r="543" spans="1:7" x14ac:dyDescent="0.3">
      <c r="A543" s="13" t="s">
        <v>1078</v>
      </c>
      <c r="B543" s="13" t="s">
        <v>1128</v>
      </c>
      <c r="C543" s="13" t="s">
        <v>14</v>
      </c>
      <c r="D543" s="12">
        <v>3</v>
      </c>
      <c r="E543" s="16">
        <v>786.66666666666663</v>
      </c>
      <c r="F543" s="13">
        <v>2360</v>
      </c>
      <c r="G543" s="13" t="s">
        <v>11</v>
      </c>
    </row>
    <row r="544" spans="1:7" x14ac:dyDescent="0.3">
      <c r="A544" s="13" t="s">
        <v>503</v>
      </c>
      <c r="B544" s="13" t="s">
        <v>951</v>
      </c>
      <c r="C544" s="13" t="s">
        <v>10</v>
      </c>
      <c r="D544" s="12">
        <v>3</v>
      </c>
      <c r="E544" s="16">
        <v>1194</v>
      </c>
      <c r="F544" s="13">
        <v>3582</v>
      </c>
      <c r="G544" s="13" t="s">
        <v>15</v>
      </c>
    </row>
    <row r="545" spans="1:7" x14ac:dyDescent="0.3">
      <c r="A545" s="13" t="s">
        <v>619</v>
      </c>
      <c r="B545" s="13" t="s">
        <v>621</v>
      </c>
      <c r="C545" s="13" t="s">
        <v>38</v>
      </c>
      <c r="D545" s="12">
        <v>3</v>
      </c>
      <c r="E545" s="16">
        <v>633</v>
      </c>
      <c r="F545" s="13">
        <v>1899</v>
      </c>
      <c r="G545" s="13" t="s">
        <v>7</v>
      </c>
    </row>
    <row r="546" spans="1:7" x14ac:dyDescent="0.3">
      <c r="A546" s="13" t="s">
        <v>116</v>
      </c>
      <c r="B546" s="13" t="s">
        <v>842</v>
      </c>
      <c r="C546" s="13" t="s">
        <v>14</v>
      </c>
      <c r="D546" s="12">
        <v>3</v>
      </c>
      <c r="E546" s="16">
        <v>230</v>
      </c>
      <c r="F546" s="13">
        <v>690</v>
      </c>
      <c r="G546" s="13" t="s">
        <v>19</v>
      </c>
    </row>
    <row r="547" spans="1:7" x14ac:dyDescent="0.3">
      <c r="A547" s="13" t="s">
        <v>217</v>
      </c>
      <c r="B547" s="13" t="s">
        <v>218</v>
      </c>
      <c r="C547" s="13" t="s">
        <v>38</v>
      </c>
      <c r="D547" s="13">
        <v>5</v>
      </c>
      <c r="E547" s="16">
        <v>446</v>
      </c>
      <c r="F547" s="13">
        <v>2230</v>
      </c>
      <c r="G547" s="13" t="s">
        <v>15</v>
      </c>
    </row>
    <row r="548" spans="1:7" x14ac:dyDescent="0.3">
      <c r="A548" s="13" t="s">
        <v>12</v>
      </c>
      <c r="B548" s="13" t="s">
        <v>13</v>
      </c>
      <c r="C548" s="13" t="s">
        <v>14</v>
      </c>
      <c r="D548" s="13">
        <v>3</v>
      </c>
      <c r="E548" s="16">
        <v>459</v>
      </c>
      <c r="F548" s="13">
        <v>1377</v>
      </c>
      <c r="G548" s="13" t="s">
        <v>15</v>
      </c>
    </row>
    <row r="549" spans="1:7" x14ac:dyDescent="0.3">
      <c r="A549" s="13" t="s">
        <v>507</v>
      </c>
      <c r="B549" s="13" t="s">
        <v>508</v>
      </c>
      <c r="C549" s="13" t="s">
        <v>10</v>
      </c>
      <c r="D549" s="13">
        <v>1</v>
      </c>
      <c r="E549" s="16">
        <v>197</v>
      </c>
      <c r="F549" s="13">
        <v>197</v>
      </c>
      <c r="G549" s="13" t="s">
        <v>27</v>
      </c>
    </row>
    <row r="550" spans="1:7" x14ac:dyDescent="0.3">
      <c r="A550" s="13" t="s">
        <v>4</v>
      </c>
      <c r="B550" s="13" t="s">
        <v>5</v>
      </c>
      <c r="C550" s="13" t="s">
        <v>6</v>
      </c>
      <c r="D550" s="13">
        <v>3</v>
      </c>
      <c r="E550" s="16">
        <v>497</v>
      </c>
      <c r="F550" s="13">
        <v>1491</v>
      </c>
      <c r="G550" s="13" t="s">
        <v>7</v>
      </c>
    </row>
    <row r="551" spans="1:7" x14ac:dyDescent="0.3">
      <c r="A551" s="13" t="s">
        <v>483</v>
      </c>
      <c r="B551" s="13" t="s">
        <v>484</v>
      </c>
      <c r="C551" s="13" t="s">
        <v>65</v>
      </c>
      <c r="D551" s="13">
        <v>1</v>
      </c>
      <c r="E551" s="16">
        <v>300</v>
      </c>
      <c r="F551" s="13">
        <v>300</v>
      </c>
      <c r="G551" s="13" t="s">
        <v>7</v>
      </c>
    </row>
    <row r="552" spans="1:7" x14ac:dyDescent="0.3">
      <c r="A552" s="13" t="s">
        <v>1054</v>
      </c>
      <c r="B552" s="13" t="s">
        <v>1055</v>
      </c>
      <c r="C552" s="13" t="s">
        <v>18</v>
      </c>
      <c r="D552" s="13">
        <v>3</v>
      </c>
      <c r="E552" s="16">
        <v>323</v>
      </c>
      <c r="F552" s="13">
        <v>969</v>
      </c>
      <c r="G552" s="13" t="s">
        <v>19</v>
      </c>
    </row>
    <row r="553" spans="1:7" x14ac:dyDescent="0.3">
      <c r="A553" s="13" t="s">
        <v>1118</v>
      </c>
      <c r="B553" s="13" t="s">
        <v>1119</v>
      </c>
      <c r="C553" s="13" t="s">
        <v>10</v>
      </c>
      <c r="D553" s="13">
        <v>5</v>
      </c>
      <c r="E553" s="16">
        <v>303</v>
      </c>
      <c r="F553" s="13">
        <v>1515</v>
      </c>
      <c r="G553" s="13" t="s">
        <v>27</v>
      </c>
    </row>
    <row r="554" spans="1:7" x14ac:dyDescent="0.3">
      <c r="A554" s="13" t="s">
        <v>28</v>
      </c>
      <c r="B554" s="13" t="s">
        <v>29</v>
      </c>
      <c r="C554" s="13" t="s">
        <v>30</v>
      </c>
      <c r="D554" s="13">
        <v>2</v>
      </c>
      <c r="E554" s="16">
        <v>397</v>
      </c>
      <c r="F554" s="13">
        <v>794</v>
      </c>
      <c r="G554" s="13" t="s">
        <v>27</v>
      </c>
    </row>
    <row r="555" spans="1:7" x14ac:dyDescent="0.3">
      <c r="A555" s="13" t="s">
        <v>28</v>
      </c>
      <c r="B555" s="13" t="s">
        <v>425</v>
      </c>
      <c r="C555" s="13" t="s">
        <v>14</v>
      </c>
      <c r="D555" s="13">
        <v>3</v>
      </c>
      <c r="E555" s="16">
        <v>706</v>
      </c>
      <c r="F555" s="13">
        <v>2118</v>
      </c>
      <c r="G555" s="13" t="s">
        <v>33</v>
      </c>
    </row>
    <row r="556" spans="1:7" x14ac:dyDescent="0.3">
      <c r="A556" s="13" t="s">
        <v>908</v>
      </c>
      <c r="B556" s="13" t="s">
        <v>909</v>
      </c>
      <c r="C556" s="13" t="s">
        <v>68</v>
      </c>
      <c r="D556" s="13">
        <v>6</v>
      </c>
      <c r="E556" s="16">
        <v>281</v>
      </c>
      <c r="F556" s="13">
        <v>1686</v>
      </c>
      <c r="G556" s="13" t="s">
        <v>19</v>
      </c>
    </row>
    <row r="557" spans="1:7" x14ac:dyDescent="0.3">
      <c r="A557" s="13" t="s">
        <v>908</v>
      </c>
      <c r="B557" s="13" t="s">
        <v>1114</v>
      </c>
      <c r="C557" s="13" t="s">
        <v>10</v>
      </c>
      <c r="D557" s="13">
        <v>6</v>
      </c>
      <c r="E557" s="16">
        <v>730</v>
      </c>
      <c r="F557" s="13">
        <v>4380</v>
      </c>
      <c r="G557" s="13" t="s">
        <v>11</v>
      </c>
    </row>
    <row r="558" spans="1:7" x14ac:dyDescent="0.3">
      <c r="A558" s="13" t="s">
        <v>281</v>
      </c>
      <c r="B558" s="13" t="s">
        <v>282</v>
      </c>
      <c r="C558" s="13" t="s">
        <v>30</v>
      </c>
      <c r="D558" s="13">
        <v>5</v>
      </c>
      <c r="E558" s="16">
        <v>357</v>
      </c>
      <c r="F558" s="13">
        <v>1785</v>
      </c>
      <c r="G558" s="13" t="s">
        <v>7</v>
      </c>
    </row>
    <row r="559" spans="1:7" x14ac:dyDescent="0.3">
      <c r="A559" s="13" t="s">
        <v>219</v>
      </c>
      <c r="B559" s="13" t="s">
        <v>220</v>
      </c>
      <c r="C559" s="13" t="s">
        <v>79</v>
      </c>
      <c r="D559" s="13">
        <v>4</v>
      </c>
      <c r="E559" s="16">
        <v>985</v>
      </c>
      <c r="F559" s="13">
        <v>3940</v>
      </c>
      <c r="G559" s="13" t="s">
        <v>15</v>
      </c>
    </row>
    <row r="560" spans="1:7" x14ac:dyDescent="0.3">
      <c r="A560" s="13" t="s">
        <v>563</v>
      </c>
      <c r="B560" s="13" t="s">
        <v>747</v>
      </c>
      <c r="C560" s="13" t="s">
        <v>38</v>
      </c>
      <c r="D560" s="13">
        <v>5</v>
      </c>
      <c r="E560" s="16">
        <v>102</v>
      </c>
      <c r="F560" s="13">
        <v>510</v>
      </c>
      <c r="G560" s="13" t="s">
        <v>11</v>
      </c>
    </row>
    <row r="561" spans="1:7" x14ac:dyDescent="0.3">
      <c r="A561" s="13" t="s">
        <v>324</v>
      </c>
      <c r="B561" s="13" t="s">
        <v>325</v>
      </c>
      <c r="C561" s="13" t="s">
        <v>24</v>
      </c>
      <c r="D561" s="13">
        <v>6</v>
      </c>
      <c r="E561" s="16">
        <v>614</v>
      </c>
      <c r="F561" s="13">
        <v>3684</v>
      </c>
      <c r="G561" s="13" t="s">
        <v>7</v>
      </c>
    </row>
    <row r="562" spans="1:7" x14ac:dyDescent="0.3">
      <c r="A562" s="13" t="s">
        <v>935</v>
      </c>
      <c r="B562" s="13" t="s">
        <v>1305</v>
      </c>
      <c r="C562" s="13" t="s">
        <v>30</v>
      </c>
      <c r="D562" s="13">
        <v>4</v>
      </c>
      <c r="E562" s="16">
        <v>799</v>
      </c>
      <c r="F562" s="13">
        <v>3196</v>
      </c>
      <c r="G562" s="13" t="s">
        <v>19</v>
      </c>
    </row>
    <row r="563" spans="1:7" x14ac:dyDescent="0.3">
      <c r="A563" s="13" t="s">
        <v>849</v>
      </c>
      <c r="B563" s="13" t="s">
        <v>850</v>
      </c>
      <c r="C563" s="13" t="s">
        <v>65</v>
      </c>
      <c r="D563" s="13">
        <v>1</v>
      </c>
      <c r="E563" s="16">
        <v>550</v>
      </c>
      <c r="F563" s="13">
        <v>550</v>
      </c>
      <c r="G563" s="13" t="s">
        <v>11</v>
      </c>
    </row>
    <row r="564" spans="1:7" x14ac:dyDescent="0.3">
      <c r="A564" s="13" t="s">
        <v>1319</v>
      </c>
      <c r="B564" s="13" t="s">
        <v>1320</v>
      </c>
      <c r="C564" s="13" t="s">
        <v>65</v>
      </c>
      <c r="D564" s="13">
        <v>3</v>
      </c>
      <c r="E564" s="16">
        <v>276</v>
      </c>
      <c r="F564" s="13">
        <v>828</v>
      </c>
      <c r="G564" s="13" t="s">
        <v>15</v>
      </c>
    </row>
    <row r="565" spans="1:7" x14ac:dyDescent="0.3">
      <c r="A565" s="13" t="s">
        <v>605</v>
      </c>
      <c r="B565" s="13" t="s">
        <v>1316</v>
      </c>
      <c r="C565" s="13" t="s">
        <v>30</v>
      </c>
      <c r="D565" s="13">
        <v>1</v>
      </c>
      <c r="E565" s="16">
        <v>196</v>
      </c>
      <c r="F565" s="13">
        <v>196</v>
      </c>
      <c r="G565" s="13" t="s">
        <v>27</v>
      </c>
    </row>
    <row r="566" spans="1:7" x14ac:dyDescent="0.3">
      <c r="A566" s="13" t="s">
        <v>605</v>
      </c>
      <c r="B566" s="13" t="s">
        <v>761</v>
      </c>
      <c r="C566" s="13" t="s">
        <v>68</v>
      </c>
      <c r="D566" s="13">
        <v>2</v>
      </c>
      <c r="E566" s="16">
        <v>891</v>
      </c>
      <c r="F566" s="13">
        <v>1782</v>
      </c>
      <c r="G566" s="13" t="s">
        <v>15</v>
      </c>
    </row>
    <row r="567" spans="1:7" x14ac:dyDescent="0.3">
      <c r="A567" s="13" t="s">
        <v>364</v>
      </c>
      <c r="B567" s="13" t="s">
        <v>365</v>
      </c>
      <c r="C567" s="13" t="s">
        <v>18</v>
      </c>
      <c r="D567" s="13">
        <v>2</v>
      </c>
      <c r="E567" s="16">
        <v>746</v>
      </c>
      <c r="F567" s="13">
        <v>1492</v>
      </c>
      <c r="G567" s="13" t="s">
        <v>11</v>
      </c>
    </row>
    <row r="568" spans="1:7" x14ac:dyDescent="0.3">
      <c r="A568" s="13" t="s">
        <v>247</v>
      </c>
      <c r="B568" s="13" t="s">
        <v>255</v>
      </c>
      <c r="C568" s="13" t="s">
        <v>10</v>
      </c>
      <c r="D568" s="13">
        <v>1</v>
      </c>
      <c r="E568" s="16">
        <v>226</v>
      </c>
      <c r="F568" s="13">
        <v>226</v>
      </c>
      <c r="G568" s="13" t="s">
        <v>27</v>
      </c>
    </row>
    <row r="569" spans="1:7" x14ac:dyDescent="0.3">
      <c r="A569" s="13" t="s">
        <v>247</v>
      </c>
      <c r="B569" s="13" t="s">
        <v>1153</v>
      </c>
      <c r="C569" s="13" t="s">
        <v>6</v>
      </c>
      <c r="D569" s="13">
        <v>3</v>
      </c>
      <c r="E569" s="16">
        <v>260</v>
      </c>
      <c r="F569" s="13">
        <v>780</v>
      </c>
      <c r="G569" s="13" t="s">
        <v>11</v>
      </c>
    </row>
    <row r="570" spans="1:7" x14ac:dyDescent="0.3">
      <c r="A570" s="13" t="s">
        <v>247</v>
      </c>
      <c r="B570" s="13" t="s">
        <v>316</v>
      </c>
      <c r="C570" s="13" t="s">
        <v>6</v>
      </c>
      <c r="D570" s="13">
        <v>3</v>
      </c>
      <c r="E570" s="16">
        <v>419</v>
      </c>
      <c r="F570" s="13">
        <v>1257</v>
      </c>
      <c r="G570" s="13" t="s">
        <v>11</v>
      </c>
    </row>
    <row r="571" spans="1:7" x14ac:dyDescent="0.3">
      <c r="A571" s="13" t="s">
        <v>247</v>
      </c>
      <c r="B571" s="13" t="s">
        <v>954</v>
      </c>
      <c r="C571" s="13" t="s">
        <v>18</v>
      </c>
      <c r="D571" s="13">
        <v>3</v>
      </c>
      <c r="E571" s="16">
        <v>920</v>
      </c>
      <c r="F571" s="13">
        <v>2760</v>
      </c>
      <c r="G571" s="13" t="s">
        <v>11</v>
      </c>
    </row>
    <row r="572" spans="1:7" x14ac:dyDescent="0.3">
      <c r="A572" s="13" t="s">
        <v>247</v>
      </c>
      <c r="B572" s="13" t="s">
        <v>1152</v>
      </c>
      <c r="C572" s="13" t="s">
        <v>6</v>
      </c>
      <c r="D572" s="13">
        <v>4</v>
      </c>
      <c r="E572" s="16">
        <v>746</v>
      </c>
      <c r="F572" s="13">
        <v>2984</v>
      </c>
      <c r="G572" s="13" t="s">
        <v>33</v>
      </c>
    </row>
    <row r="573" spans="1:7" x14ac:dyDescent="0.3">
      <c r="A573" s="13" t="s">
        <v>289</v>
      </c>
      <c r="B573" s="13" t="s">
        <v>899</v>
      </c>
      <c r="C573" s="13" t="s">
        <v>38</v>
      </c>
      <c r="D573" s="13">
        <v>5</v>
      </c>
      <c r="E573" s="16">
        <v>295</v>
      </c>
      <c r="F573" s="13">
        <v>1475</v>
      </c>
      <c r="G573" s="13" t="s">
        <v>27</v>
      </c>
    </row>
    <row r="574" spans="1:7" x14ac:dyDescent="0.3">
      <c r="A574" s="13" t="s">
        <v>289</v>
      </c>
      <c r="B574" s="13" t="s">
        <v>1212</v>
      </c>
      <c r="C574" s="13" t="s">
        <v>6</v>
      </c>
      <c r="D574" s="13">
        <v>4</v>
      </c>
      <c r="E574" s="16">
        <v>480</v>
      </c>
      <c r="F574" s="13">
        <v>1920</v>
      </c>
      <c r="G574" s="13" t="s">
        <v>27</v>
      </c>
    </row>
    <row r="575" spans="1:7" x14ac:dyDescent="0.3">
      <c r="A575" s="13" t="s">
        <v>289</v>
      </c>
      <c r="B575" s="13" t="s">
        <v>517</v>
      </c>
      <c r="C575" s="13" t="s">
        <v>79</v>
      </c>
      <c r="D575" s="13">
        <v>5</v>
      </c>
      <c r="E575" s="16">
        <v>403</v>
      </c>
      <c r="F575" s="13">
        <v>2015</v>
      </c>
      <c r="G575" s="13" t="s">
        <v>11</v>
      </c>
    </row>
    <row r="576" spans="1:7" x14ac:dyDescent="0.3">
      <c r="A576" s="13" t="s">
        <v>289</v>
      </c>
      <c r="B576" s="13" t="s">
        <v>290</v>
      </c>
      <c r="C576" s="13" t="s">
        <v>24</v>
      </c>
      <c r="D576" s="13">
        <v>3</v>
      </c>
      <c r="E576" s="16">
        <v>999</v>
      </c>
      <c r="F576" s="13">
        <v>2997</v>
      </c>
      <c r="G576" s="13" t="s">
        <v>27</v>
      </c>
    </row>
    <row r="577" spans="1:7" x14ac:dyDescent="0.3">
      <c r="A577" s="13" t="s">
        <v>793</v>
      </c>
      <c r="B577" s="13" t="s">
        <v>794</v>
      </c>
      <c r="C577" s="13" t="s">
        <v>68</v>
      </c>
      <c r="D577" s="13">
        <v>1</v>
      </c>
      <c r="E577" s="16">
        <v>794</v>
      </c>
      <c r="F577" s="13">
        <v>794</v>
      </c>
      <c r="G577" s="13" t="s">
        <v>11</v>
      </c>
    </row>
    <row r="578" spans="1:7" x14ac:dyDescent="0.3">
      <c r="A578" s="13" t="s">
        <v>118</v>
      </c>
      <c r="B578" s="13" t="s">
        <v>119</v>
      </c>
      <c r="C578" s="13" t="s">
        <v>68</v>
      </c>
      <c r="D578" s="13">
        <v>2</v>
      </c>
      <c r="E578" s="16">
        <v>331</v>
      </c>
      <c r="F578" s="13">
        <v>662</v>
      </c>
      <c r="G578" s="13" t="s">
        <v>19</v>
      </c>
    </row>
    <row r="579" spans="1:7" x14ac:dyDescent="0.3">
      <c r="A579" s="13" t="s">
        <v>118</v>
      </c>
      <c r="B579" s="13" t="s">
        <v>320</v>
      </c>
      <c r="C579" s="13" t="s">
        <v>30</v>
      </c>
      <c r="D579" s="13">
        <v>2</v>
      </c>
      <c r="E579" s="16">
        <v>427</v>
      </c>
      <c r="F579" s="13">
        <v>854</v>
      </c>
      <c r="G579" s="13" t="s">
        <v>33</v>
      </c>
    </row>
    <row r="580" spans="1:7" x14ac:dyDescent="0.3">
      <c r="A580" s="13" t="s">
        <v>439</v>
      </c>
      <c r="B580" s="13" t="s">
        <v>1130</v>
      </c>
      <c r="C580" s="13" t="s">
        <v>65</v>
      </c>
      <c r="D580" s="13">
        <v>4</v>
      </c>
      <c r="E580" s="16">
        <v>420</v>
      </c>
      <c r="F580" s="13">
        <v>1680</v>
      </c>
      <c r="G580" s="13" t="s">
        <v>15</v>
      </c>
    </row>
    <row r="581" spans="1:7" x14ac:dyDescent="0.3">
      <c r="A581" s="13" t="s">
        <v>509</v>
      </c>
      <c r="B581" s="13" t="s">
        <v>1209</v>
      </c>
      <c r="C581" s="13" t="s">
        <v>24</v>
      </c>
      <c r="D581" s="13">
        <v>2</v>
      </c>
      <c r="E581" s="16">
        <v>706</v>
      </c>
      <c r="F581" s="13">
        <v>1412</v>
      </c>
      <c r="G581" s="13" t="s">
        <v>33</v>
      </c>
    </row>
    <row r="582" spans="1:7" x14ac:dyDescent="0.3">
      <c r="A582" s="13" t="s">
        <v>509</v>
      </c>
      <c r="B582" s="13" t="s">
        <v>1169</v>
      </c>
      <c r="C582" s="13" t="s">
        <v>68</v>
      </c>
      <c r="D582" s="13">
        <v>5</v>
      </c>
      <c r="E582" s="16">
        <v>517</v>
      </c>
      <c r="F582" s="13">
        <v>2585</v>
      </c>
      <c r="G582" s="13" t="s">
        <v>15</v>
      </c>
    </row>
    <row r="583" spans="1:7" x14ac:dyDescent="0.3">
      <c r="A583" s="13" t="s">
        <v>108</v>
      </c>
      <c r="B583" s="13" t="s">
        <v>109</v>
      </c>
      <c r="C583" s="13" t="s">
        <v>30</v>
      </c>
      <c r="D583" s="13">
        <v>1</v>
      </c>
      <c r="E583" s="16">
        <v>940</v>
      </c>
      <c r="F583" s="13">
        <v>940</v>
      </c>
      <c r="G583" s="13" t="s">
        <v>19</v>
      </c>
    </row>
    <row r="584" spans="1:7" x14ac:dyDescent="0.3">
      <c r="A584" s="13" t="s">
        <v>108</v>
      </c>
      <c r="B584" s="13" t="s">
        <v>805</v>
      </c>
      <c r="C584" s="13" t="s">
        <v>24</v>
      </c>
      <c r="D584" s="13">
        <v>4</v>
      </c>
      <c r="E584" s="16">
        <v>539</v>
      </c>
      <c r="F584" s="13">
        <v>2156</v>
      </c>
      <c r="G584" s="13" t="s">
        <v>15</v>
      </c>
    </row>
    <row r="585" spans="1:7" x14ac:dyDescent="0.3">
      <c r="A585" s="13" t="s">
        <v>179</v>
      </c>
      <c r="B585" s="13" t="s">
        <v>180</v>
      </c>
      <c r="C585" s="13" t="s">
        <v>10</v>
      </c>
      <c r="D585" s="13">
        <v>4</v>
      </c>
      <c r="E585" s="16">
        <v>745</v>
      </c>
      <c r="F585" s="13">
        <v>2980</v>
      </c>
      <c r="G585" s="13" t="s">
        <v>7</v>
      </c>
    </row>
    <row r="586" spans="1:7" x14ac:dyDescent="0.3">
      <c r="A586" s="13" t="s">
        <v>1324</v>
      </c>
      <c r="B586" s="13" t="s">
        <v>1325</v>
      </c>
      <c r="C586" s="13" t="s">
        <v>30</v>
      </c>
      <c r="D586" s="13">
        <v>5</v>
      </c>
      <c r="E586" s="16">
        <v>112</v>
      </c>
      <c r="F586" s="13">
        <v>560</v>
      </c>
      <c r="G586" s="13" t="s">
        <v>19</v>
      </c>
    </row>
    <row r="587" spans="1:7" x14ac:dyDescent="0.3">
      <c r="A587" s="13" t="s">
        <v>644</v>
      </c>
      <c r="B587" s="13" t="s">
        <v>645</v>
      </c>
      <c r="C587" s="13" t="s">
        <v>24</v>
      </c>
      <c r="D587" s="13">
        <v>1</v>
      </c>
      <c r="E587" s="16">
        <v>171</v>
      </c>
      <c r="F587" s="13">
        <v>171</v>
      </c>
      <c r="G587" s="13" t="s">
        <v>7</v>
      </c>
    </row>
    <row r="588" spans="1:7" x14ac:dyDescent="0.3">
      <c r="A588" s="13" t="s">
        <v>644</v>
      </c>
      <c r="B588" s="13" t="s">
        <v>1321</v>
      </c>
      <c r="C588" s="13" t="s">
        <v>65</v>
      </c>
      <c r="D588" s="13">
        <v>3</v>
      </c>
      <c r="E588" s="16">
        <v>473</v>
      </c>
      <c r="F588" s="13">
        <v>1419</v>
      </c>
      <c r="G588" s="13" t="s">
        <v>19</v>
      </c>
    </row>
    <row r="589" spans="1:7" x14ac:dyDescent="0.3">
      <c r="A589" s="13" t="s">
        <v>407</v>
      </c>
      <c r="B589" s="13" t="s">
        <v>456</v>
      </c>
      <c r="C589" s="13" t="s">
        <v>38</v>
      </c>
      <c r="D589" s="13">
        <v>5</v>
      </c>
      <c r="E589" s="16">
        <v>96</v>
      </c>
      <c r="F589" s="13">
        <v>480</v>
      </c>
      <c r="G589" s="13" t="s">
        <v>7</v>
      </c>
    </row>
    <row r="590" spans="1:7" x14ac:dyDescent="0.3">
      <c r="A590" s="13" t="s">
        <v>407</v>
      </c>
      <c r="B590" s="13" t="s">
        <v>409</v>
      </c>
      <c r="C590" s="13" t="s">
        <v>10</v>
      </c>
      <c r="D590" s="13">
        <v>3</v>
      </c>
      <c r="E590" s="16">
        <v>306</v>
      </c>
      <c r="F590" s="13">
        <v>918</v>
      </c>
      <c r="G590" s="13" t="s">
        <v>19</v>
      </c>
    </row>
    <row r="591" spans="1:7" x14ac:dyDescent="0.3">
      <c r="A591" s="13" t="s">
        <v>407</v>
      </c>
      <c r="B591" s="13" t="s">
        <v>1309</v>
      </c>
      <c r="C591" s="13" t="s">
        <v>18</v>
      </c>
      <c r="D591" s="13">
        <v>2</v>
      </c>
      <c r="E591" s="16">
        <v>841</v>
      </c>
      <c r="F591" s="13">
        <v>1682</v>
      </c>
      <c r="G591" s="13" t="s">
        <v>33</v>
      </c>
    </row>
    <row r="592" spans="1:7" x14ac:dyDescent="0.3">
      <c r="A592" s="13" t="s">
        <v>407</v>
      </c>
      <c r="B592" s="13" t="s">
        <v>852</v>
      </c>
      <c r="C592" s="13" t="s">
        <v>6</v>
      </c>
      <c r="D592" s="13">
        <v>4</v>
      </c>
      <c r="E592" s="16">
        <v>541</v>
      </c>
      <c r="F592" s="13">
        <v>2164</v>
      </c>
      <c r="G592" s="13" t="s">
        <v>19</v>
      </c>
    </row>
    <row r="593" spans="1:7" x14ac:dyDescent="0.3">
      <c r="A593" s="13" t="s">
        <v>682</v>
      </c>
      <c r="B593" s="13" t="s">
        <v>683</v>
      </c>
      <c r="C593" s="13" t="s">
        <v>79</v>
      </c>
      <c r="D593" s="13">
        <v>1</v>
      </c>
      <c r="E593" s="16">
        <v>670</v>
      </c>
      <c r="F593" s="13">
        <v>670</v>
      </c>
      <c r="G593" s="13" t="s">
        <v>27</v>
      </c>
    </row>
    <row r="594" spans="1:7" x14ac:dyDescent="0.3">
      <c r="A594" s="13" t="s">
        <v>20</v>
      </c>
      <c r="B594" s="13" t="s">
        <v>988</v>
      </c>
      <c r="C594" s="13" t="s">
        <v>6</v>
      </c>
      <c r="D594" s="13">
        <v>4</v>
      </c>
      <c r="E594" s="16">
        <v>341</v>
      </c>
      <c r="F594" s="13">
        <v>1364</v>
      </c>
      <c r="G594" s="13" t="s">
        <v>19</v>
      </c>
    </row>
    <row r="595" spans="1:7" x14ac:dyDescent="0.3">
      <c r="A595" s="13" t="s">
        <v>102</v>
      </c>
      <c r="B595" s="13" t="s">
        <v>613</v>
      </c>
      <c r="C595" s="13" t="s">
        <v>6</v>
      </c>
      <c r="D595" s="13">
        <v>1</v>
      </c>
      <c r="E595" s="16">
        <v>424</v>
      </c>
      <c r="F595" s="13">
        <v>424</v>
      </c>
      <c r="G595" s="13" t="s">
        <v>27</v>
      </c>
    </row>
    <row r="596" spans="1:7" x14ac:dyDescent="0.3">
      <c r="A596" s="13" t="s">
        <v>102</v>
      </c>
      <c r="B596" s="13" t="s">
        <v>487</v>
      </c>
      <c r="C596" s="13" t="s">
        <v>24</v>
      </c>
      <c r="D596" s="13">
        <v>2</v>
      </c>
      <c r="E596" s="16">
        <v>751</v>
      </c>
      <c r="F596" s="13">
        <v>1502</v>
      </c>
      <c r="G596" s="13" t="s">
        <v>19</v>
      </c>
    </row>
    <row r="597" spans="1:7" x14ac:dyDescent="0.3">
      <c r="A597" s="13" t="s">
        <v>102</v>
      </c>
      <c r="B597" s="13" t="s">
        <v>264</v>
      </c>
      <c r="C597" s="13" t="s">
        <v>14</v>
      </c>
      <c r="D597" s="13">
        <v>4</v>
      </c>
      <c r="E597" s="16">
        <v>748</v>
      </c>
      <c r="F597" s="13">
        <v>2992</v>
      </c>
      <c r="G597" s="13" t="s">
        <v>33</v>
      </c>
    </row>
    <row r="598" spans="1:7" x14ac:dyDescent="0.3">
      <c r="A598" s="13" t="s">
        <v>102</v>
      </c>
      <c r="B598" s="13" t="s">
        <v>474</v>
      </c>
      <c r="C598" s="13" t="s">
        <v>68</v>
      </c>
      <c r="D598" s="13">
        <v>4</v>
      </c>
      <c r="E598" s="16">
        <v>960</v>
      </c>
      <c r="F598" s="13">
        <v>3840</v>
      </c>
      <c r="G598" s="13" t="s">
        <v>19</v>
      </c>
    </row>
    <row r="599" spans="1:7" x14ac:dyDescent="0.3">
      <c r="A599" s="13" t="s">
        <v>63</v>
      </c>
      <c r="B599" s="13" t="s">
        <v>1149</v>
      </c>
      <c r="C599" s="13" t="s">
        <v>14</v>
      </c>
      <c r="D599" s="13">
        <v>6</v>
      </c>
      <c r="E599" s="16">
        <v>582</v>
      </c>
      <c r="F599" s="13">
        <v>3492</v>
      </c>
      <c r="G599" s="13" t="s">
        <v>7</v>
      </c>
    </row>
    <row r="600" spans="1:7" x14ac:dyDescent="0.3">
      <c r="A600" s="13" t="s">
        <v>63</v>
      </c>
      <c r="B600" s="13" t="s">
        <v>152</v>
      </c>
      <c r="C600" s="13" t="s">
        <v>79</v>
      </c>
      <c r="D600" s="13">
        <v>5</v>
      </c>
      <c r="E600" s="16">
        <v>744</v>
      </c>
      <c r="F600" s="13">
        <v>3720</v>
      </c>
      <c r="G600" s="13" t="s">
        <v>15</v>
      </c>
    </row>
    <row r="601" spans="1:7" x14ac:dyDescent="0.3">
      <c r="A601" s="13" t="s">
        <v>121</v>
      </c>
      <c r="B601" s="13" t="s">
        <v>122</v>
      </c>
      <c r="C601" s="13" t="s">
        <v>68</v>
      </c>
      <c r="D601" s="13">
        <v>4</v>
      </c>
      <c r="E601" s="16">
        <v>860</v>
      </c>
      <c r="F601" s="13">
        <v>3440</v>
      </c>
      <c r="G601" s="13" t="s">
        <v>11</v>
      </c>
    </row>
    <row r="602" spans="1:7" x14ac:dyDescent="0.3">
      <c r="A602" s="13" t="s">
        <v>623</v>
      </c>
      <c r="B602" s="13" t="s">
        <v>626</v>
      </c>
      <c r="C602" s="13" t="s">
        <v>79</v>
      </c>
      <c r="D602" s="13">
        <v>5</v>
      </c>
      <c r="E602" s="16">
        <v>616</v>
      </c>
      <c r="F602" s="13">
        <v>3080</v>
      </c>
      <c r="G602" s="13" t="s">
        <v>7</v>
      </c>
    </row>
    <row r="603" spans="1:7" x14ac:dyDescent="0.3">
      <c r="A603" s="13" t="s">
        <v>271</v>
      </c>
      <c r="B603" s="13" t="s">
        <v>276</v>
      </c>
      <c r="C603" s="13" t="s">
        <v>30</v>
      </c>
      <c r="D603" s="13">
        <v>1</v>
      </c>
      <c r="E603" s="16">
        <v>605</v>
      </c>
      <c r="F603" s="13">
        <v>605</v>
      </c>
      <c r="G603" s="13" t="s">
        <v>15</v>
      </c>
    </row>
    <row r="604" spans="1:7" x14ac:dyDescent="0.3">
      <c r="A604" s="13" t="s">
        <v>271</v>
      </c>
      <c r="B604" s="13" t="s">
        <v>272</v>
      </c>
      <c r="C604" s="13" t="s">
        <v>14</v>
      </c>
      <c r="D604" s="13">
        <v>2</v>
      </c>
      <c r="E604" s="16">
        <v>776</v>
      </c>
      <c r="F604" s="13">
        <v>1552</v>
      </c>
      <c r="G604" s="13" t="s">
        <v>27</v>
      </c>
    </row>
    <row r="605" spans="1:7" x14ac:dyDescent="0.3">
      <c r="A605" s="13" t="s">
        <v>83</v>
      </c>
      <c r="B605" s="13" t="s">
        <v>1106</v>
      </c>
      <c r="C605" s="13" t="s">
        <v>68</v>
      </c>
      <c r="D605" s="13">
        <v>1</v>
      </c>
      <c r="E605" s="16">
        <v>475</v>
      </c>
      <c r="F605" s="13">
        <v>475</v>
      </c>
      <c r="G605" s="13" t="s">
        <v>15</v>
      </c>
    </row>
    <row r="606" spans="1:7" x14ac:dyDescent="0.3">
      <c r="A606" s="13" t="s">
        <v>83</v>
      </c>
      <c r="B606" s="13" t="s">
        <v>84</v>
      </c>
      <c r="C606" s="13" t="s">
        <v>18</v>
      </c>
      <c r="D606" s="13">
        <v>6</v>
      </c>
      <c r="E606" s="16">
        <v>352</v>
      </c>
      <c r="F606" s="13">
        <v>2112</v>
      </c>
      <c r="G606" s="13" t="s">
        <v>27</v>
      </c>
    </row>
    <row r="607" spans="1:7" x14ac:dyDescent="0.3">
      <c r="A607" s="13" t="s">
        <v>371</v>
      </c>
      <c r="B607" s="13" t="s">
        <v>1037</v>
      </c>
      <c r="C607" s="13" t="s">
        <v>79</v>
      </c>
      <c r="D607" s="13">
        <v>6</v>
      </c>
      <c r="E607" s="16">
        <v>138</v>
      </c>
      <c r="F607" s="13">
        <v>828</v>
      </c>
      <c r="G607" s="13" t="s">
        <v>7</v>
      </c>
    </row>
    <row r="608" spans="1:7" x14ac:dyDescent="0.3">
      <c r="A608" s="13" t="s">
        <v>371</v>
      </c>
      <c r="B608" s="13" t="s">
        <v>1038</v>
      </c>
      <c r="C608" s="13" t="s">
        <v>79</v>
      </c>
      <c r="D608" s="13">
        <v>6</v>
      </c>
      <c r="E608" s="16">
        <v>460</v>
      </c>
      <c r="F608" s="13">
        <v>2760</v>
      </c>
      <c r="G608" s="13" t="s">
        <v>19</v>
      </c>
    </row>
    <row r="609" spans="1:7" x14ac:dyDescent="0.3">
      <c r="A609" s="13" t="s">
        <v>371</v>
      </c>
      <c r="B609" s="13" t="s">
        <v>891</v>
      </c>
      <c r="C609" s="13" t="s">
        <v>18</v>
      </c>
      <c r="D609" s="13">
        <v>6</v>
      </c>
      <c r="E609" s="16">
        <v>762</v>
      </c>
      <c r="F609" s="13">
        <v>4572</v>
      </c>
      <c r="G609" s="13" t="s">
        <v>19</v>
      </c>
    </row>
    <row r="610" spans="1:7" x14ac:dyDescent="0.3">
      <c r="A610" s="13" t="s">
        <v>374</v>
      </c>
      <c r="B610" s="13" t="s">
        <v>375</v>
      </c>
      <c r="C610" s="13" t="s">
        <v>6</v>
      </c>
      <c r="D610" s="13">
        <v>3</v>
      </c>
      <c r="E610" s="16">
        <v>614</v>
      </c>
      <c r="F610" s="13">
        <v>1842</v>
      </c>
      <c r="G610" s="13" t="s">
        <v>27</v>
      </c>
    </row>
    <row r="611" spans="1:7" x14ac:dyDescent="0.3">
      <c r="A611" s="13" t="s">
        <v>686</v>
      </c>
      <c r="B611" s="13" t="s">
        <v>832</v>
      </c>
      <c r="C611" s="13" t="s">
        <v>30</v>
      </c>
      <c r="D611" s="13">
        <v>3</v>
      </c>
      <c r="E611" s="16">
        <v>545</v>
      </c>
      <c r="F611" s="13">
        <v>1635</v>
      </c>
      <c r="G611" s="13" t="s">
        <v>11</v>
      </c>
    </row>
    <row r="612" spans="1:7" x14ac:dyDescent="0.3">
      <c r="A612" s="13" t="s">
        <v>333</v>
      </c>
      <c r="B612" s="13" t="s">
        <v>334</v>
      </c>
      <c r="C612" s="13" t="s">
        <v>68</v>
      </c>
      <c r="D612" s="13">
        <v>6</v>
      </c>
      <c r="E612" s="16">
        <v>117</v>
      </c>
      <c r="F612" s="13">
        <v>702</v>
      </c>
      <c r="G612" s="13" t="s">
        <v>7</v>
      </c>
    </row>
    <row r="613" spans="1:7" x14ac:dyDescent="0.3">
      <c r="A613" s="13" t="s">
        <v>902</v>
      </c>
      <c r="B613" s="13" t="s">
        <v>1326</v>
      </c>
      <c r="C613" s="13" t="s">
        <v>24</v>
      </c>
      <c r="D613" s="13">
        <v>4</v>
      </c>
      <c r="E613" s="16">
        <v>620</v>
      </c>
      <c r="F613" s="13">
        <v>2480</v>
      </c>
      <c r="G613" s="13" t="s">
        <v>19</v>
      </c>
    </row>
    <row r="614" spans="1:7" x14ac:dyDescent="0.3">
      <c r="A614" s="13" t="s">
        <v>277</v>
      </c>
      <c r="B614" s="13" t="s">
        <v>423</v>
      </c>
      <c r="C614" s="13" t="s">
        <v>38</v>
      </c>
      <c r="D614" s="13">
        <v>5</v>
      </c>
      <c r="E614" s="16">
        <v>145</v>
      </c>
      <c r="F614" s="13">
        <v>725</v>
      </c>
      <c r="G614" s="13" t="s">
        <v>33</v>
      </c>
    </row>
    <row r="615" spans="1:7" x14ac:dyDescent="0.3">
      <c r="A615" s="13" t="s">
        <v>277</v>
      </c>
      <c r="B615" s="13" t="s">
        <v>799</v>
      </c>
      <c r="C615" s="13" t="s">
        <v>18</v>
      </c>
      <c r="D615" s="13">
        <v>5</v>
      </c>
      <c r="E615" s="16">
        <v>581</v>
      </c>
      <c r="F615" s="13">
        <v>2905</v>
      </c>
      <c r="G615" s="13" t="s">
        <v>15</v>
      </c>
    </row>
    <row r="616" spans="1:7" x14ac:dyDescent="0.3">
      <c r="A616" s="13" t="s">
        <v>317</v>
      </c>
      <c r="B616" s="13" t="s">
        <v>318</v>
      </c>
      <c r="C616" s="13" t="s">
        <v>65</v>
      </c>
      <c r="D616" s="13">
        <v>2</v>
      </c>
      <c r="E616" s="16">
        <v>617</v>
      </c>
      <c r="F616" s="13">
        <v>1234</v>
      </c>
      <c r="G616" s="13" t="s">
        <v>15</v>
      </c>
    </row>
    <row r="617" spans="1:7" x14ac:dyDescent="0.3">
      <c r="A617" s="13" t="s">
        <v>317</v>
      </c>
      <c r="B617" s="13" t="s">
        <v>1211</v>
      </c>
      <c r="C617" s="13" t="s">
        <v>24</v>
      </c>
      <c r="D617" s="13">
        <v>3</v>
      </c>
      <c r="E617" s="16">
        <v>711</v>
      </c>
      <c r="F617" s="13">
        <v>2133</v>
      </c>
      <c r="G617" s="13" t="s">
        <v>27</v>
      </c>
    </row>
    <row r="618" spans="1:7" x14ac:dyDescent="0.3">
      <c r="A618" s="13" t="s">
        <v>293</v>
      </c>
      <c r="B618" s="13" t="s">
        <v>1087</v>
      </c>
      <c r="C618" s="13" t="s">
        <v>14</v>
      </c>
      <c r="D618" s="13">
        <v>1</v>
      </c>
      <c r="E618" s="16">
        <v>368</v>
      </c>
      <c r="F618" s="13">
        <v>368</v>
      </c>
      <c r="G618" s="13" t="s">
        <v>19</v>
      </c>
    </row>
    <row r="619" spans="1:7" x14ac:dyDescent="0.3">
      <c r="A619" s="13" t="s">
        <v>293</v>
      </c>
      <c r="B619" s="13" t="s">
        <v>544</v>
      </c>
      <c r="C619" s="13" t="s">
        <v>24</v>
      </c>
      <c r="D619" s="13">
        <v>3</v>
      </c>
      <c r="E619" s="16">
        <v>478</v>
      </c>
      <c r="F619" s="13">
        <v>1434</v>
      </c>
      <c r="G619" s="13" t="s">
        <v>27</v>
      </c>
    </row>
    <row r="620" spans="1:7" x14ac:dyDescent="0.3">
      <c r="A620" s="13" t="s">
        <v>293</v>
      </c>
      <c r="B620" s="13" t="s">
        <v>1086</v>
      </c>
      <c r="C620" s="13" t="s">
        <v>65</v>
      </c>
      <c r="D620" s="13">
        <v>5</v>
      </c>
      <c r="E620" s="16">
        <v>838</v>
      </c>
      <c r="F620" s="13">
        <v>4190</v>
      </c>
      <c r="G620" s="13" t="s">
        <v>7</v>
      </c>
    </row>
    <row r="621" spans="1:7" x14ac:dyDescent="0.3">
      <c r="A621" s="13" t="s">
        <v>138</v>
      </c>
      <c r="B621" s="13" t="s">
        <v>291</v>
      </c>
      <c r="C621" s="13" t="s">
        <v>30</v>
      </c>
      <c r="D621" s="13">
        <v>1</v>
      </c>
      <c r="E621" s="16">
        <v>767</v>
      </c>
      <c r="F621" s="13">
        <v>767</v>
      </c>
      <c r="G621" s="13" t="s">
        <v>27</v>
      </c>
    </row>
    <row r="622" spans="1:7" x14ac:dyDescent="0.3">
      <c r="A622" s="13" t="s">
        <v>138</v>
      </c>
      <c r="B622" s="13" t="s">
        <v>292</v>
      </c>
      <c r="C622" s="13" t="s">
        <v>30</v>
      </c>
      <c r="D622" s="13">
        <v>6</v>
      </c>
      <c r="E622" s="16">
        <v>703</v>
      </c>
      <c r="F622" s="13">
        <v>4218</v>
      </c>
      <c r="G622" s="13" t="s">
        <v>27</v>
      </c>
    </row>
    <row r="623" spans="1:7" x14ac:dyDescent="0.3">
      <c r="A623" s="13" t="s">
        <v>1005</v>
      </c>
      <c r="B623" s="13" t="s">
        <v>1174</v>
      </c>
      <c r="C623" s="13" t="s">
        <v>18</v>
      </c>
      <c r="D623" s="13">
        <v>3</v>
      </c>
      <c r="E623" s="16">
        <v>738</v>
      </c>
      <c r="F623" s="13">
        <v>2214</v>
      </c>
      <c r="G623" s="13" t="s">
        <v>15</v>
      </c>
    </row>
    <row r="624" spans="1:7" x14ac:dyDescent="0.3">
      <c r="A624" s="13" t="s">
        <v>210</v>
      </c>
      <c r="B624" s="13" t="s">
        <v>856</v>
      </c>
      <c r="C624" s="13" t="s">
        <v>79</v>
      </c>
      <c r="D624" s="13">
        <v>2</v>
      </c>
      <c r="E624" s="16">
        <v>788</v>
      </c>
      <c r="F624" s="13">
        <v>1576</v>
      </c>
      <c r="G624" s="13" t="s">
        <v>33</v>
      </c>
    </row>
    <row r="625" spans="1:7" x14ac:dyDescent="0.3">
      <c r="A625" s="13" t="s">
        <v>210</v>
      </c>
      <c r="B625" s="13" t="s">
        <v>1077</v>
      </c>
      <c r="C625" s="13" t="s">
        <v>30</v>
      </c>
      <c r="D625" s="13">
        <v>6</v>
      </c>
      <c r="E625" s="16">
        <v>465</v>
      </c>
      <c r="F625" s="13">
        <v>2790</v>
      </c>
      <c r="G625" s="13" t="s">
        <v>33</v>
      </c>
    </row>
    <row r="626" spans="1:7" x14ac:dyDescent="0.3">
      <c r="A626" s="13" t="s">
        <v>341</v>
      </c>
      <c r="B626" s="13" t="s">
        <v>466</v>
      </c>
      <c r="C626" s="13" t="s">
        <v>65</v>
      </c>
      <c r="D626" s="13">
        <v>5</v>
      </c>
      <c r="E626" s="16">
        <v>635</v>
      </c>
      <c r="F626" s="13">
        <v>3175</v>
      </c>
      <c r="G626" s="13" t="s">
        <v>33</v>
      </c>
    </row>
    <row r="627" spans="1:7" x14ac:dyDescent="0.3">
      <c r="A627" s="13" t="s">
        <v>144</v>
      </c>
      <c r="B627" s="13" t="s">
        <v>1266</v>
      </c>
      <c r="C627" s="13" t="s">
        <v>38</v>
      </c>
      <c r="D627" s="13">
        <v>6</v>
      </c>
      <c r="E627" s="16">
        <v>82</v>
      </c>
      <c r="F627" s="13">
        <v>492</v>
      </c>
      <c r="G627" s="13" t="s">
        <v>11</v>
      </c>
    </row>
    <row r="628" spans="1:7" x14ac:dyDescent="0.3">
      <c r="A628" s="13" t="s">
        <v>144</v>
      </c>
      <c r="B628" s="13" t="s">
        <v>1265</v>
      </c>
      <c r="C628" s="13" t="s">
        <v>79</v>
      </c>
      <c r="D628" s="13">
        <v>6</v>
      </c>
      <c r="E628" s="16">
        <v>165</v>
      </c>
      <c r="F628" s="13">
        <v>990</v>
      </c>
      <c r="G628" s="13" t="s">
        <v>7</v>
      </c>
    </row>
    <row r="629" spans="1:7" x14ac:dyDescent="0.3">
      <c r="A629" s="13" t="s">
        <v>230</v>
      </c>
      <c r="B629" s="13" t="s">
        <v>1207</v>
      </c>
      <c r="C629" s="13" t="s">
        <v>30</v>
      </c>
      <c r="D629" s="13">
        <v>3</v>
      </c>
      <c r="E629" s="16">
        <v>188</v>
      </c>
      <c r="F629" s="13">
        <v>564</v>
      </c>
      <c r="G629" s="13" t="s">
        <v>11</v>
      </c>
    </row>
    <row r="630" spans="1:7" x14ac:dyDescent="0.3">
      <c r="A630" s="13" t="s">
        <v>230</v>
      </c>
      <c r="B630" s="13" t="s">
        <v>1317</v>
      </c>
      <c r="C630" s="13" t="s">
        <v>14</v>
      </c>
      <c r="D630" s="13">
        <v>2</v>
      </c>
      <c r="E630" s="16">
        <v>726</v>
      </c>
      <c r="F630" s="13">
        <v>1452</v>
      </c>
      <c r="G630" s="13" t="s">
        <v>19</v>
      </c>
    </row>
    <row r="631" spans="1:7" x14ac:dyDescent="0.3">
      <c r="A631" s="13" t="s">
        <v>230</v>
      </c>
      <c r="B631" s="13" t="s">
        <v>1026</v>
      </c>
      <c r="C631" s="13" t="s">
        <v>18</v>
      </c>
      <c r="D631" s="13">
        <v>5</v>
      </c>
      <c r="E631" s="16">
        <v>825</v>
      </c>
      <c r="F631" s="13">
        <v>4125</v>
      </c>
      <c r="G631" s="13" t="s">
        <v>27</v>
      </c>
    </row>
    <row r="632" spans="1:7" x14ac:dyDescent="0.3">
      <c r="A632" s="13" t="s">
        <v>463</v>
      </c>
      <c r="B632" s="13" t="s">
        <v>464</v>
      </c>
      <c r="C632" s="13" t="s">
        <v>38</v>
      </c>
      <c r="D632" s="13">
        <v>6</v>
      </c>
      <c r="E632" s="16">
        <v>265</v>
      </c>
      <c r="F632" s="13">
        <v>1590</v>
      </c>
      <c r="G632" s="13" t="s">
        <v>27</v>
      </c>
    </row>
    <row r="633" spans="1:7" x14ac:dyDescent="0.3">
      <c r="A633" s="13" t="s">
        <v>717</v>
      </c>
      <c r="B633" s="13" t="s">
        <v>1179</v>
      </c>
      <c r="C633" s="13" t="s">
        <v>24</v>
      </c>
      <c r="D633" s="13">
        <v>4</v>
      </c>
      <c r="E633" s="16">
        <v>72</v>
      </c>
      <c r="F633" s="13">
        <v>288</v>
      </c>
      <c r="G633" s="13" t="s">
        <v>19</v>
      </c>
    </row>
    <row r="634" spans="1:7" x14ac:dyDescent="0.3">
      <c r="A634" s="13" t="s">
        <v>717</v>
      </c>
      <c r="B634" s="13" t="s">
        <v>718</v>
      </c>
      <c r="C634" s="13" t="s">
        <v>10</v>
      </c>
      <c r="D634" s="13">
        <v>5</v>
      </c>
      <c r="E634" s="16">
        <v>389</v>
      </c>
      <c r="F634" s="13">
        <v>1945</v>
      </c>
      <c r="G634" s="13" t="s">
        <v>7</v>
      </c>
    </row>
    <row r="635" spans="1:7" x14ac:dyDescent="0.3">
      <c r="A635" s="13" t="s">
        <v>717</v>
      </c>
      <c r="B635" s="13" t="s">
        <v>1089</v>
      </c>
      <c r="C635" s="13" t="s">
        <v>18</v>
      </c>
      <c r="D635" s="13">
        <v>4</v>
      </c>
      <c r="E635" s="16">
        <v>704</v>
      </c>
      <c r="F635" s="13">
        <v>2816</v>
      </c>
      <c r="G635" s="13" t="s">
        <v>33</v>
      </c>
    </row>
    <row r="636" spans="1:7" x14ac:dyDescent="0.3">
      <c r="A636" s="13" t="s">
        <v>717</v>
      </c>
      <c r="B636" s="13" t="s">
        <v>1272</v>
      </c>
      <c r="C636" s="13" t="s">
        <v>65</v>
      </c>
      <c r="D636" s="13">
        <v>5</v>
      </c>
      <c r="E636" s="16">
        <v>954</v>
      </c>
      <c r="F636" s="13">
        <v>4770</v>
      </c>
      <c r="G636" s="13" t="s">
        <v>15</v>
      </c>
    </row>
    <row r="637" spans="1:7" x14ac:dyDescent="0.3">
      <c r="A637" s="13" t="s">
        <v>257</v>
      </c>
      <c r="B637" s="13" t="s">
        <v>392</v>
      </c>
      <c r="C637" s="13" t="s">
        <v>65</v>
      </c>
      <c r="D637" s="13">
        <v>3</v>
      </c>
      <c r="E637" s="16">
        <v>361</v>
      </c>
      <c r="F637" s="13">
        <v>1083</v>
      </c>
      <c r="G637" s="13" t="s">
        <v>11</v>
      </c>
    </row>
    <row r="638" spans="1:7" x14ac:dyDescent="0.3">
      <c r="A638" s="13" t="s">
        <v>257</v>
      </c>
      <c r="B638" s="13" t="s">
        <v>258</v>
      </c>
      <c r="C638" s="13" t="s">
        <v>30</v>
      </c>
      <c r="D638" s="13">
        <v>3</v>
      </c>
      <c r="E638" s="16">
        <v>780</v>
      </c>
      <c r="F638" s="13">
        <v>2340</v>
      </c>
      <c r="G638" s="13" t="s">
        <v>33</v>
      </c>
    </row>
    <row r="639" spans="1:7" x14ac:dyDescent="0.3">
      <c r="A639" s="13" t="s">
        <v>310</v>
      </c>
      <c r="B639" s="13" t="s">
        <v>311</v>
      </c>
      <c r="C639" s="13" t="s">
        <v>18</v>
      </c>
      <c r="D639" s="13">
        <v>3</v>
      </c>
      <c r="E639" s="16">
        <v>859</v>
      </c>
      <c r="F639" s="13">
        <v>2577</v>
      </c>
      <c r="G639" s="13" t="s">
        <v>19</v>
      </c>
    </row>
    <row r="640" spans="1:7" x14ac:dyDescent="0.3">
      <c r="A640" s="13" t="s">
        <v>601</v>
      </c>
      <c r="B640" s="13" t="s">
        <v>795</v>
      </c>
      <c r="C640" s="13" t="s">
        <v>65</v>
      </c>
      <c r="D640" s="13">
        <v>1</v>
      </c>
      <c r="E640" s="16">
        <v>113</v>
      </c>
      <c r="F640" s="13">
        <v>113</v>
      </c>
      <c r="G640" s="13" t="s">
        <v>27</v>
      </c>
    </row>
    <row r="641" spans="1:7" x14ac:dyDescent="0.3">
      <c r="A641" s="13" t="s">
        <v>177</v>
      </c>
      <c r="B641" s="13" t="s">
        <v>178</v>
      </c>
      <c r="C641" s="13" t="s">
        <v>18</v>
      </c>
      <c r="D641" s="13">
        <v>1</v>
      </c>
      <c r="E641" s="16">
        <v>207</v>
      </c>
      <c r="F641" s="13">
        <v>207</v>
      </c>
      <c r="G641" s="13" t="s">
        <v>33</v>
      </c>
    </row>
    <row r="642" spans="1:7" x14ac:dyDescent="0.3">
      <c r="A642" s="13" t="s">
        <v>177</v>
      </c>
      <c r="B642" s="13" t="s">
        <v>1220</v>
      </c>
      <c r="C642" s="13" t="s">
        <v>6</v>
      </c>
      <c r="D642" s="13">
        <v>1</v>
      </c>
      <c r="E642" s="16">
        <v>436</v>
      </c>
      <c r="F642" s="13">
        <v>436</v>
      </c>
      <c r="G642" s="13" t="s">
        <v>33</v>
      </c>
    </row>
    <row r="643" spans="1:7" x14ac:dyDescent="0.3">
      <c r="A643" s="13" t="s">
        <v>177</v>
      </c>
      <c r="B643" s="13" t="s">
        <v>859</v>
      </c>
      <c r="C643" s="13" t="s">
        <v>24</v>
      </c>
      <c r="D643" s="13">
        <v>6</v>
      </c>
      <c r="E643" s="16">
        <v>174</v>
      </c>
      <c r="F643" s="13">
        <v>1044</v>
      </c>
      <c r="G643" s="13" t="s">
        <v>19</v>
      </c>
    </row>
    <row r="644" spans="1:7" x14ac:dyDescent="0.3">
      <c r="A644" s="13" t="s">
        <v>177</v>
      </c>
      <c r="B644" s="13" t="s">
        <v>1262</v>
      </c>
      <c r="C644" s="13" t="s">
        <v>79</v>
      </c>
      <c r="D644" s="13">
        <v>5</v>
      </c>
      <c r="E644" s="16">
        <v>946</v>
      </c>
      <c r="F644" s="13">
        <v>4730</v>
      </c>
      <c r="G644" s="13" t="s">
        <v>15</v>
      </c>
    </row>
    <row r="645" spans="1:7" x14ac:dyDescent="0.3">
      <c r="A645" s="13" t="s">
        <v>724</v>
      </c>
      <c r="B645" s="13" t="s">
        <v>757</v>
      </c>
      <c r="C645" s="13" t="s">
        <v>14</v>
      </c>
      <c r="D645" s="13">
        <v>3</v>
      </c>
      <c r="E645" s="16">
        <v>843</v>
      </c>
      <c r="F645" s="13">
        <v>2529</v>
      </c>
      <c r="G645" s="13" t="s">
        <v>11</v>
      </c>
    </row>
    <row r="646" spans="1:7" x14ac:dyDescent="0.3">
      <c r="A646" s="13" t="s">
        <v>1017</v>
      </c>
      <c r="B646" s="13" t="s">
        <v>1126</v>
      </c>
      <c r="C646" s="13" t="s">
        <v>10</v>
      </c>
      <c r="D646" s="13">
        <v>2</v>
      </c>
      <c r="E646" s="16">
        <v>588</v>
      </c>
      <c r="F646" s="13">
        <v>1176</v>
      </c>
      <c r="G646" s="13" t="s">
        <v>19</v>
      </c>
    </row>
    <row r="647" spans="1:7" x14ac:dyDescent="0.3">
      <c r="A647" s="13" t="s">
        <v>343</v>
      </c>
      <c r="B647" s="13" t="s">
        <v>923</v>
      </c>
      <c r="C647" s="13" t="s">
        <v>10</v>
      </c>
      <c r="D647" s="13">
        <v>3</v>
      </c>
      <c r="E647" s="16">
        <v>190</v>
      </c>
      <c r="F647" s="13">
        <v>570</v>
      </c>
      <c r="G647" s="13" t="s">
        <v>15</v>
      </c>
    </row>
    <row r="648" spans="1:7" x14ac:dyDescent="0.3">
      <c r="A648" s="13" t="s">
        <v>343</v>
      </c>
      <c r="B648" s="13" t="s">
        <v>344</v>
      </c>
      <c r="C648" s="13" t="s">
        <v>14</v>
      </c>
      <c r="D648" s="13">
        <v>4</v>
      </c>
      <c r="E648" s="16">
        <v>588</v>
      </c>
      <c r="F648" s="13">
        <v>2352</v>
      </c>
      <c r="G648" s="13" t="s">
        <v>19</v>
      </c>
    </row>
    <row r="649" spans="1:7" x14ac:dyDescent="0.3">
      <c r="A649" s="13" t="s">
        <v>460</v>
      </c>
      <c r="B649" s="13" t="s">
        <v>1241</v>
      </c>
      <c r="C649" s="13" t="s">
        <v>10</v>
      </c>
      <c r="D649" s="13">
        <v>1</v>
      </c>
      <c r="E649" s="16">
        <v>824</v>
      </c>
      <c r="F649" s="13">
        <v>824</v>
      </c>
      <c r="G649" s="13" t="s">
        <v>11</v>
      </c>
    </row>
    <row r="650" spans="1:7" x14ac:dyDescent="0.3">
      <c r="A650" s="13" t="s">
        <v>460</v>
      </c>
      <c r="B650" s="13" t="s">
        <v>1155</v>
      </c>
      <c r="C650" s="13" t="s">
        <v>68</v>
      </c>
      <c r="D650" s="13">
        <v>5</v>
      </c>
      <c r="E650" s="16">
        <v>647</v>
      </c>
      <c r="F650" s="13">
        <v>3235</v>
      </c>
      <c r="G650" s="13" t="s">
        <v>7</v>
      </c>
    </row>
    <row r="651" spans="1:7" x14ac:dyDescent="0.3">
      <c r="A651" s="13" t="s">
        <v>460</v>
      </c>
      <c r="B651" s="13" t="s">
        <v>462</v>
      </c>
      <c r="C651" s="13" t="s">
        <v>65</v>
      </c>
      <c r="D651" s="13">
        <v>6</v>
      </c>
      <c r="E651" s="16">
        <v>716</v>
      </c>
      <c r="F651" s="13">
        <v>4296</v>
      </c>
      <c r="G651" s="13" t="s">
        <v>27</v>
      </c>
    </row>
    <row r="652" spans="1:7" x14ac:dyDescent="0.3">
      <c r="A652" s="13" t="s">
        <v>741</v>
      </c>
      <c r="B652" s="13" t="s">
        <v>743</v>
      </c>
      <c r="C652" s="13" t="s">
        <v>24</v>
      </c>
      <c r="D652" s="13">
        <v>6</v>
      </c>
      <c r="E652" s="16">
        <v>641</v>
      </c>
      <c r="F652" s="13">
        <v>3846</v>
      </c>
      <c r="G652" s="13" t="s">
        <v>27</v>
      </c>
    </row>
    <row r="653" spans="1:7" x14ac:dyDescent="0.3">
      <c r="A653" s="13" t="s">
        <v>652</v>
      </c>
      <c r="B653" s="13" t="s">
        <v>733</v>
      </c>
      <c r="C653" s="13" t="s">
        <v>30</v>
      </c>
      <c r="D653" s="13">
        <v>3</v>
      </c>
      <c r="E653" s="16">
        <v>77</v>
      </c>
      <c r="F653" s="13">
        <v>231</v>
      </c>
      <c r="G653" s="13" t="s">
        <v>33</v>
      </c>
    </row>
    <row r="654" spans="1:7" x14ac:dyDescent="0.3">
      <c r="A654" s="13" t="s">
        <v>652</v>
      </c>
      <c r="B654" s="13" t="s">
        <v>1335</v>
      </c>
      <c r="C654" s="13" t="s">
        <v>79</v>
      </c>
      <c r="D654" s="13">
        <v>3</v>
      </c>
      <c r="E654" s="16">
        <v>619</v>
      </c>
      <c r="F654" s="13">
        <v>1857</v>
      </c>
      <c r="G654" s="13" t="s">
        <v>27</v>
      </c>
    </row>
    <row r="655" spans="1:7" x14ac:dyDescent="0.3">
      <c r="A655" s="13" t="s">
        <v>245</v>
      </c>
      <c r="B655" s="13" t="s">
        <v>672</v>
      </c>
      <c r="C655" s="13" t="s">
        <v>14</v>
      </c>
      <c r="D655" s="13">
        <v>3</v>
      </c>
      <c r="E655" s="16">
        <v>89</v>
      </c>
      <c r="F655" s="13">
        <v>267</v>
      </c>
      <c r="G655" s="13" t="s">
        <v>11</v>
      </c>
    </row>
    <row r="656" spans="1:7" x14ac:dyDescent="0.3">
      <c r="A656" s="13" t="s">
        <v>245</v>
      </c>
      <c r="B656" s="13" t="s">
        <v>246</v>
      </c>
      <c r="C656" s="13" t="s">
        <v>68</v>
      </c>
      <c r="D656" s="13">
        <v>4</v>
      </c>
      <c r="E656" s="16">
        <v>175</v>
      </c>
      <c r="F656" s="13">
        <v>700</v>
      </c>
      <c r="G656" s="13" t="s">
        <v>33</v>
      </c>
    </row>
    <row r="657" spans="1:7" x14ac:dyDescent="0.3">
      <c r="A657" s="13" t="s">
        <v>245</v>
      </c>
      <c r="B657" s="13" t="s">
        <v>1161</v>
      </c>
      <c r="C657" s="13" t="s">
        <v>65</v>
      </c>
      <c r="D657" s="13">
        <v>2</v>
      </c>
      <c r="E657" s="16">
        <v>878</v>
      </c>
      <c r="F657" s="13">
        <v>1756</v>
      </c>
      <c r="G657" s="13" t="s">
        <v>15</v>
      </c>
    </row>
    <row r="658" spans="1:7" x14ac:dyDescent="0.3">
      <c r="A658" s="13" t="s">
        <v>200</v>
      </c>
      <c r="B658" s="13" t="s">
        <v>938</v>
      </c>
      <c r="C658" s="13" t="s">
        <v>65</v>
      </c>
      <c r="D658" s="13">
        <v>6</v>
      </c>
      <c r="E658" s="16">
        <v>344</v>
      </c>
      <c r="F658" s="13">
        <v>2064</v>
      </c>
      <c r="G658" s="13" t="s">
        <v>7</v>
      </c>
    </row>
    <row r="659" spans="1:7" x14ac:dyDescent="0.3">
      <c r="A659" s="13" t="s">
        <v>31</v>
      </c>
      <c r="B659" s="13" t="s">
        <v>32</v>
      </c>
      <c r="C659" s="13" t="s">
        <v>6</v>
      </c>
      <c r="D659" s="13">
        <v>4</v>
      </c>
      <c r="E659" s="16">
        <v>241</v>
      </c>
      <c r="F659" s="13">
        <v>964</v>
      </c>
      <c r="G659" s="13" t="s">
        <v>33</v>
      </c>
    </row>
    <row r="660" spans="1:7" x14ac:dyDescent="0.3">
      <c r="A660" s="13" t="s">
        <v>69</v>
      </c>
      <c r="B660" s="13" t="s">
        <v>70</v>
      </c>
      <c r="C660" s="13" t="s">
        <v>14</v>
      </c>
      <c r="D660" s="13">
        <v>3</v>
      </c>
      <c r="E660" s="16">
        <v>608</v>
      </c>
      <c r="F660" s="13">
        <v>1824</v>
      </c>
      <c r="G660" s="13" t="s">
        <v>27</v>
      </c>
    </row>
    <row r="661" spans="1:7" x14ac:dyDescent="0.3">
      <c r="A661" s="13" t="s">
        <v>238</v>
      </c>
      <c r="B661" s="13" t="s">
        <v>843</v>
      </c>
      <c r="C661" s="13" t="s">
        <v>30</v>
      </c>
      <c r="D661" s="13">
        <v>2</v>
      </c>
      <c r="E661" s="16">
        <v>771</v>
      </c>
      <c r="F661" s="13">
        <v>1542</v>
      </c>
      <c r="G661" s="13" t="s">
        <v>15</v>
      </c>
    </row>
    <row r="662" spans="1:7" x14ac:dyDescent="0.3">
      <c r="A662" s="13" t="s">
        <v>238</v>
      </c>
      <c r="B662" s="13" t="s">
        <v>239</v>
      </c>
      <c r="C662" s="13" t="s">
        <v>68</v>
      </c>
      <c r="D662" s="13">
        <v>4</v>
      </c>
      <c r="E662" s="16">
        <v>760</v>
      </c>
      <c r="F662" s="13">
        <v>3040</v>
      </c>
      <c r="G662" s="13" t="s">
        <v>15</v>
      </c>
    </row>
    <row r="663" spans="1:7" x14ac:dyDescent="0.3">
      <c r="A663" s="13" t="s">
        <v>208</v>
      </c>
      <c r="B663" s="13" t="s">
        <v>209</v>
      </c>
      <c r="C663" s="13" t="s">
        <v>30</v>
      </c>
      <c r="D663" s="13">
        <v>6</v>
      </c>
      <c r="E663" s="16">
        <v>76</v>
      </c>
      <c r="F663" s="13">
        <v>456</v>
      </c>
      <c r="G663" s="13" t="s">
        <v>19</v>
      </c>
    </row>
    <row r="664" spans="1:7" x14ac:dyDescent="0.3">
      <c r="A664" s="13" t="s">
        <v>208</v>
      </c>
      <c r="B664" s="13" t="s">
        <v>1168</v>
      </c>
      <c r="C664" s="13" t="s">
        <v>14</v>
      </c>
      <c r="D664" s="13">
        <v>3</v>
      </c>
      <c r="E664" s="16">
        <v>475</v>
      </c>
      <c r="F664" s="13">
        <v>1425</v>
      </c>
      <c r="G664" s="13" t="s">
        <v>15</v>
      </c>
    </row>
    <row r="665" spans="1:7" x14ac:dyDescent="0.3">
      <c r="A665" s="13" t="s">
        <v>25</v>
      </c>
      <c r="B665" s="13" t="s">
        <v>1277</v>
      </c>
      <c r="C665" s="13" t="s">
        <v>79</v>
      </c>
      <c r="D665" s="13">
        <v>1</v>
      </c>
      <c r="E665" s="16">
        <v>261</v>
      </c>
      <c r="F665" s="13">
        <v>261</v>
      </c>
      <c r="G665" s="13" t="s">
        <v>11</v>
      </c>
    </row>
    <row r="666" spans="1:7" x14ac:dyDescent="0.3">
      <c r="A666" s="13" t="s">
        <v>584</v>
      </c>
      <c r="B666" s="13" t="s">
        <v>585</v>
      </c>
      <c r="C666" s="13" t="s">
        <v>18</v>
      </c>
      <c r="D666" s="13">
        <v>1</v>
      </c>
      <c r="E666" s="16">
        <v>647</v>
      </c>
      <c r="F666" s="13">
        <v>647</v>
      </c>
      <c r="G666" s="13" t="s">
        <v>15</v>
      </c>
    </row>
    <row r="667" spans="1:7" x14ac:dyDescent="0.3">
      <c r="A667" s="13" t="s">
        <v>631</v>
      </c>
      <c r="B667" s="13" t="s">
        <v>1008</v>
      </c>
      <c r="C667" s="13" t="s">
        <v>79</v>
      </c>
      <c r="D667" s="13">
        <v>1</v>
      </c>
      <c r="E667" s="16">
        <v>388</v>
      </c>
      <c r="F667" s="13">
        <v>388</v>
      </c>
      <c r="G667" s="13" t="s">
        <v>27</v>
      </c>
    </row>
    <row r="668" spans="1:7" x14ac:dyDescent="0.3">
      <c r="A668" s="13" t="s">
        <v>631</v>
      </c>
      <c r="B668" s="13" t="s">
        <v>1163</v>
      </c>
      <c r="C668" s="13" t="s">
        <v>14</v>
      </c>
      <c r="D668" s="13">
        <v>1</v>
      </c>
      <c r="E668" s="16">
        <v>514</v>
      </c>
      <c r="F668" s="13">
        <v>514</v>
      </c>
      <c r="G668" s="13" t="s">
        <v>15</v>
      </c>
    </row>
    <row r="669" spans="1:7" x14ac:dyDescent="0.3">
      <c r="A669" s="13" t="s">
        <v>631</v>
      </c>
      <c r="B669" s="13" t="s">
        <v>632</v>
      </c>
      <c r="C669" s="13" t="s">
        <v>18</v>
      </c>
      <c r="D669" s="13">
        <v>4</v>
      </c>
      <c r="E669" s="16">
        <v>445</v>
      </c>
      <c r="F669" s="13">
        <v>1780</v>
      </c>
      <c r="G669" s="13" t="s">
        <v>27</v>
      </c>
    </row>
    <row r="670" spans="1:7" x14ac:dyDescent="0.3">
      <c r="A670" s="13" t="s">
        <v>360</v>
      </c>
      <c r="B670" s="13" t="s">
        <v>361</v>
      </c>
      <c r="C670" s="13" t="s">
        <v>10</v>
      </c>
      <c r="D670" s="13">
        <v>4</v>
      </c>
      <c r="E670" s="16">
        <v>125</v>
      </c>
      <c r="F670" s="13">
        <v>500</v>
      </c>
      <c r="G670" s="13" t="s">
        <v>11</v>
      </c>
    </row>
    <row r="671" spans="1:7" x14ac:dyDescent="0.3">
      <c r="A671" s="13" t="s">
        <v>360</v>
      </c>
      <c r="B671" s="13" t="s">
        <v>362</v>
      </c>
      <c r="C671" s="13" t="s">
        <v>68</v>
      </c>
      <c r="D671" s="13">
        <v>2</v>
      </c>
      <c r="E671" s="16">
        <v>510</v>
      </c>
      <c r="F671" s="13">
        <v>1020</v>
      </c>
      <c r="G671" s="13" t="s">
        <v>33</v>
      </c>
    </row>
    <row r="672" spans="1:7" x14ac:dyDescent="0.3">
      <c r="A672" s="13" t="s">
        <v>360</v>
      </c>
      <c r="B672" s="13" t="s">
        <v>664</v>
      </c>
      <c r="C672" s="13" t="s">
        <v>18</v>
      </c>
      <c r="D672" s="13">
        <v>4</v>
      </c>
      <c r="E672" s="16">
        <v>571</v>
      </c>
      <c r="F672" s="13">
        <v>2284</v>
      </c>
      <c r="G672" s="13" t="s">
        <v>19</v>
      </c>
    </row>
    <row r="673" spans="1:7" x14ac:dyDescent="0.3">
      <c r="A673" s="13" t="s">
        <v>426</v>
      </c>
      <c r="B673" s="13" t="s">
        <v>1080</v>
      </c>
      <c r="C673" s="13" t="s">
        <v>79</v>
      </c>
      <c r="D673" s="13">
        <v>2</v>
      </c>
      <c r="E673" s="16">
        <v>564</v>
      </c>
      <c r="F673" s="13">
        <v>1128</v>
      </c>
      <c r="G673" s="13" t="s">
        <v>27</v>
      </c>
    </row>
    <row r="674" spans="1:7" x14ac:dyDescent="0.3">
      <c r="A674" s="13" t="s">
        <v>426</v>
      </c>
      <c r="B674" s="13" t="s">
        <v>595</v>
      </c>
      <c r="C674" s="13" t="s">
        <v>14</v>
      </c>
      <c r="D674" s="13">
        <v>5</v>
      </c>
      <c r="E674" s="16">
        <v>913</v>
      </c>
      <c r="F674" s="13">
        <v>4565</v>
      </c>
      <c r="G674" s="13" t="s">
        <v>33</v>
      </c>
    </row>
    <row r="675" spans="1:7" x14ac:dyDescent="0.3">
      <c r="A675" s="13" t="s">
        <v>426</v>
      </c>
      <c r="B675" s="13" t="s">
        <v>1081</v>
      </c>
      <c r="C675" s="13" t="s">
        <v>79</v>
      </c>
      <c r="D675" s="13">
        <v>6</v>
      </c>
      <c r="E675" s="16">
        <v>995</v>
      </c>
      <c r="F675" s="13">
        <v>5970</v>
      </c>
      <c r="G675" s="13" t="s">
        <v>11</v>
      </c>
    </row>
    <row r="676" spans="1:7" x14ac:dyDescent="0.3">
      <c r="A676" s="13" t="s">
        <v>312</v>
      </c>
      <c r="B676" s="13" t="s">
        <v>1219</v>
      </c>
      <c r="C676" s="13" t="s">
        <v>14</v>
      </c>
      <c r="D676" s="13">
        <v>1</v>
      </c>
      <c r="E676" s="16">
        <v>978</v>
      </c>
      <c r="F676" s="13">
        <v>978</v>
      </c>
      <c r="G676" s="13" t="s">
        <v>15</v>
      </c>
    </row>
    <row r="677" spans="1:7" x14ac:dyDescent="0.3">
      <c r="A677" s="13" t="s">
        <v>312</v>
      </c>
      <c r="B677" s="13" t="s">
        <v>458</v>
      </c>
      <c r="C677" s="13" t="s">
        <v>38</v>
      </c>
      <c r="D677" s="13">
        <v>4</v>
      </c>
      <c r="E677" s="16">
        <v>839</v>
      </c>
      <c r="F677" s="13">
        <v>3356</v>
      </c>
      <c r="G677" s="13" t="s">
        <v>11</v>
      </c>
    </row>
    <row r="678" spans="1:7" x14ac:dyDescent="0.3">
      <c r="A678" s="13" t="s">
        <v>472</v>
      </c>
      <c r="B678" s="13" t="s">
        <v>1036</v>
      </c>
      <c r="C678" s="13" t="s">
        <v>65</v>
      </c>
      <c r="D678" s="13">
        <v>1</v>
      </c>
      <c r="E678" s="16">
        <v>385</v>
      </c>
      <c r="F678" s="13">
        <v>385</v>
      </c>
      <c r="G678" s="13" t="s">
        <v>27</v>
      </c>
    </row>
    <row r="679" spans="1:7" x14ac:dyDescent="0.3">
      <c r="A679" s="13" t="s">
        <v>472</v>
      </c>
      <c r="B679" s="13" t="s">
        <v>473</v>
      </c>
      <c r="C679" s="13" t="s">
        <v>10</v>
      </c>
      <c r="D679" s="13">
        <v>2</v>
      </c>
      <c r="E679" s="16">
        <v>559</v>
      </c>
      <c r="F679" s="13">
        <v>1118</v>
      </c>
      <c r="G679" s="13" t="s">
        <v>33</v>
      </c>
    </row>
    <row r="680" spans="1:7" x14ac:dyDescent="0.3">
      <c r="A680" s="13" t="s">
        <v>45</v>
      </c>
      <c r="B680" s="13" t="s">
        <v>869</v>
      </c>
      <c r="C680" s="13" t="s">
        <v>30</v>
      </c>
      <c r="D680" s="13">
        <v>4</v>
      </c>
      <c r="E680" s="16">
        <v>873</v>
      </c>
      <c r="F680" s="13">
        <v>3492</v>
      </c>
      <c r="G680" s="13" t="s">
        <v>11</v>
      </c>
    </row>
    <row r="681" spans="1:7" x14ac:dyDescent="0.3">
      <c r="A681" s="13" t="s">
        <v>110</v>
      </c>
      <c r="B681" s="13" t="s">
        <v>1333</v>
      </c>
      <c r="C681" s="13" t="s">
        <v>14</v>
      </c>
      <c r="D681" s="13">
        <v>1</v>
      </c>
      <c r="E681" s="16">
        <v>745</v>
      </c>
      <c r="F681" s="13">
        <v>745</v>
      </c>
      <c r="G681" s="13" t="s">
        <v>33</v>
      </c>
    </row>
    <row r="682" spans="1:7" x14ac:dyDescent="0.3">
      <c r="A682" s="13" t="s">
        <v>110</v>
      </c>
      <c r="B682" s="13" t="s">
        <v>876</v>
      </c>
      <c r="C682" s="13" t="s">
        <v>68</v>
      </c>
      <c r="D682" s="13">
        <v>5</v>
      </c>
      <c r="E682" s="16">
        <v>404</v>
      </c>
      <c r="F682" s="13">
        <v>2020</v>
      </c>
      <c r="G682" s="13" t="s">
        <v>27</v>
      </c>
    </row>
    <row r="683" spans="1:7" x14ac:dyDescent="0.3">
      <c r="A683" s="13" t="s">
        <v>1135</v>
      </c>
      <c r="B683" s="13" t="s">
        <v>1284</v>
      </c>
      <c r="C683" s="13" t="s">
        <v>38</v>
      </c>
      <c r="D683" s="13">
        <v>3</v>
      </c>
      <c r="E683" s="16">
        <v>738</v>
      </c>
      <c r="F683" s="13">
        <v>2214</v>
      </c>
      <c r="G683" s="13" t="s">
        <v>27</v>
      </c>
    </row>
    <row r="684" spans="1:7" x14ac:dyDescent="0.3">
      <c r="A684" s="13" t="s">
        <v>811</v>
      </c>
      <c r="B684" s="13" t="s">
        <v>1206</v>
      </c>
      <c r="C684" s="13" t="s">
        <v>6</v>
      </c>
      <c r="D684" s="13">
        <v>6</v>
      </c>
      <c r="E684" s="16">
        <v>837</v>
      </c>
      <c r="F684" s="13">
        <v>5022</v>
      </c>
      <c r="G684" s="13" t="s">
        <v>33</v>
      </c>
    </row>
    <row r="685" spans="1:7" x14ac:dyDescent="0.3">
      <c r="A685" s="13" t="s">
        <v>249</v>
      </c>
      <c r="B685" s="13" t="s">
        <v>986</v>
      </c>
      <c r="C685" s="13" t="s">
        <v>14</v>
      </c>
      <c r="D685" s="13">
        <v>5</v>
      </c>
      <c r="E685" s="16">
        <v>1000</v>
      </c>
      <c r="F685" s="13">
        <v>5000</v>
      </c>
      <c r="G685" s="13" t="s">
        <v>7</v>
      </c>
    </row>
    <row r="686" spans="1:7" x14ac:dyDescent="0.3">
      <c r="A686" s="13" t="s">
        <v>561</v>
      </c>
      <c r="B686" s="13" t="s">
        <v>562</v>
      </c>
      <c r="C686" s="13" t="s">
        <v>10</v>
      </c>
      <c r="D686" s="13">
        <v>2</v>
      </c>
      <c r="E686" s="16">
        <v>213</v>
      </c>
      <c r="F686" s="13">
        <v>426</v>
      </c>
      <c r="G686" s="13" t="s">
        <v>15</v>
      </c>
    </row>
    <row r="687" spans="1:7" x14ac:dyDescent="0.3">
      <c r="A687" s="13" t="s">
        <v>561</v>
      </c>
      <c r="B687" s="13" t="s">
        <v>752</v>
      </c>
      <c r="C687" s="13" t="s">
        <v>38</v>
      </c>
      <c r="D687" s="13">
        <v>1</v>
      </c>
      <c r="E687" s="16">
        <v>586</v>
      </c>
      <c r="F687" s="13">
        <v>586</v>
      </c>
      <c r="G687" s="13" t="s">
        <v>19</v>
      </c>
    </row>
    <row r="688" spans="1:7" x14ac:dyDescent="0.3">
      <c r="A688" s="13" t="s">
        <v>561</v>
      </c>
      <c r="B688" s="13" t="s">
        <v>949</v>
      </c>
      <c r="C688" s="13" t="s">
        <v>18</v>
      </c>
      <c r="D688" s="13">
        <v>6</v>
      </c>
      <c r="E688" s="16">
        <v>637</v>
      </c>
      <c r="F688" s="13">
        <v>3822</v>
      </c>
      <c r="G688" s="13" t="s">
        <v>7</v>
      </c>
    </row>
    <row r="689" spans="1:7" x14ac:dyDescent="0.3">
      <c r="A689" s="13" t="s">
        <v>451</v>
      </c>
      <c r="B689" s="13" t="s">
        <v>910</v>
      </c>
      <c r="C689" s="13" t="s">
        <v>30</v>
      </c>
      <c r="D689" s="13">
        <v>3</v>
      </c>
      <c r="E689" s="16">
        <v>703</v>
      </c>
      <c r="F689" s="13">
        <v>2109</v>
      </c>
      <c r="G689" s="13" t="s">
        <v>33</v>
      </c>
    </row>
    <row r="690" spans="1:7" x14ac:dyDescent="0.3">
      <c r="A690" s="13" t="s">
        <v>228</v>
      </c>
      <c r="B690" s="13" t="s">
        <v>838</v>
      </c>
      <c r="C690" s="13" t="s">
        <v>65</v>
      </c>
      <c r="D690" s="13">
        <v>1</v>
      </c>
      <c r="E690" s="16">
        <v>355</v>
      </c>
      <c r="F690" s="13">
        <v>355</v>
      </c>
      <c r="G690" s="13" t="s">
        <v>15</v>
      </c>
    </row>
    <row r="691" spans="1:7" x14ac:dyDescent="0.3">
      <c r="A691" s="13" t="s">
        <v>228</v>
      </c>
      <c r="B691" s="13" t="s">
        <v>229</v>
      </c>
      <c r="C691" s="13" t="s">
        <v>6</v>
      </c>
      <c r="D691" s="13">
        <v>5</v>
      </c>
      <c r="E691" s="16">
        <v>316</v>
      </c>
      <c r="F691" s="13">
        <v>1580</v>
      </c>
      <c r="G691" s="13" t="s">
        <v>15</v>
      </c>
    </row>
    <row r="692" spans="1:7" x14ac:dyDescent="0.3">
      <c r="A692" s="13" t="s">
        <v>205</v>
      </c>
      <c r="B692" s="13" t="s">
        <v>1140</v>
      </c>
      <c r="C692" s="13" t="s">
        <v>38</v>
      </c>
      <c r="D692" s="13">
        <v>4</v>
      </c>
      <c r="E692" s="16">
        <v>567</v>
      </c>
      <c r="F692" s="13">
        <v>2268</v>
      </c>
      <c r="G692" s="13" t="s">
        <v>11</v>
      </c>
    </row>
    <row r="693" spans="1:7" x14ac:dyDescent="0.3">
      <c r="A693" s="13" t="s">
        <v>436</v>
      </c>
      <c r="B693" s="13" t="s">
        <v>437</v>
      </c>
      <c r="C693" s="13" t="s">
        <v>30</v>
      </c>
      <c r="D693" s="13">
        <v>3</v>
      </c>
      <c r="E693" s="16">
        <v>787</v>
      </c>
      <c r="F693" s="13">
        <v>2361</v>
      </c>
      <c r="G693" s="13" t="s">
        <v>11</v>
      </c>
    </row>
    <row r="694" spans="1:7" x14ac:dyDescent="0.3">
      <c r="A694" s="13" t="s">
        <v>994</v>
      </c>
      <c r="B694" s="13" t="s">
        <v>995</v>
      </c>
      <c r="C694" s="13" t="s">
        <v>38</v>
      </c>
      <c r="D694" s="13">
        <v>1</v>
      </c>
      <c r="E694" s="16">
        <v>555</v>
      </c>
      <c r="F694" s="13">
        <v>555</v>
      </c>
      <c r="G694" s="13" t="s">
        <v>27</v>
      </c>
    </row>
    <row r="695" spans="1:7" x14ac:dyDescent="0.3">
      <c r="A695" s="13" t="s">
        <v>994</v>
      </c>
      <c r="B695" s="13" t="s">
        <v>1150</v>
      </c>
      <c r="C695" s="13" t="s">
        <v>14</v>
      </c>
      <c r="D695" s="13">
        <v>5</v>
      </c>
      <c r="E695" s="16">
        <v>502</v>
      </c>
      <c r="F695" s="13">
        <v>2510</v>
      </c>
      <c r="G695" s="13" t="s">
        <v>19</v>
      </c>
    </row>
    <row r="696" spans="1:7" x14ac:dyDescent="0.3">
      <c r="A696" s="13" t="s">
        <v>994</v>
      </c>
      <c r="B696" s="13" t="s">
        <v>996</v>
      </c>
      <c r="C696" s="13" t="s">
        <v>79</v>
      </c>
      <c r="D696" s="13">
        <v>4</v>
      </c>
      <c r="E696" s="16">
        <v>960</v>
      </c>
      <c r="F696" s="13">
        <v>3840</v>
      </c>
      <c r="G696" s="13" t="s">
        <v>7</v>
      </c>
    </row>
    <row r="697" spans="1:7" x14ac:dyDescent="0.3">
      <c r="A697" s="13" t="s">
        <v>328</v>
      </c>
      <c r="B697" s="13" t="s">
        <v>1127</v>
      </c>
      <c r="C697" s="13" t="s">
        <v>68</v>
      </c>
      <c r="D697" s="13">
        <v>6</v>
      </c>
      <c r="E697" s="16">
        <v>507</v>
      </c>
      <c r="F697" s="13">
        <v>3042</v>
      </c>
      <c r="G697" s="13" t="s">
        <v>27</v>
      </c>
    </row>
    <row r="698" spans="1:7" x14ac:dyDescent="0.3">
      <c r="A698" s="13" t="s">
        <v>215</v>
      </c>
      <c r="B698" s="13" t="s">
        <v>216</v>
      </c>
      <c r="C698" s="13" t="s">
        <v>68</v>
      </c>
      <c r="D698" s="13">
        <v>1</v>
      </c>
      <c r="E698" s="16">
        <v>580</v>
      </c>
      <c r="F698" s="13">
        <v>580</v>
      </c>
      <c r="G698" s="13" t="s">
        <v>15</v>
      </c>
    </row>
    <row r="699" spans="1:7" x14ac:dyDescent="0.3">
      <c r="A699" s="13" t="s">
        <v>215</v>
      </c>
      <c r="B699" s="13" t="s">
        <v>1117</v>
      </c>
      <c r="C699" s="13" t="s">
        <v>14</v>
      </c>
      <c r="D699" s="13">
        <v>2</v>
      </c>
      <c r="E699" s="16">
        <v>830</v>
      </c>
      <c r="F699" s="13">
        <v>1660</v>
      </c>
      <c r="G699" s="13" t="s">
        <v>15</v>
      </c>
    </row>
    <row r="700" spans="1:7" x14ac:dyDescent="0.3">
      <c r="A700" s="13" t="s">
        <v>85</v>
      </c>
      <c r="B700" s="13" t="s">
        <v>86</v>
      </c>
      <c r="C700" s="13" t="s">
        <v>18</v>
      </c>
      <c r="D700" s="13">
        <v>2</v>
      </c>
      <c r="E700" s="16">
        <v>363</v>
      </c>
      <c r="F700" s="13">
        <v>726</v>
      </c>
      <c r="G700" s="13" t="s">
        <v>27</v>
      </c>
    </row>
    <row r="701" spans="1:7" x14ac:dyDescent="0.3">
      <c r="A701" s="13" t="s">
        <v>85</v>
      </c>
      <c r="B701" s="13" t="s">
        <v>641</v>
      </c>
      <c r="C701" s="13" t="s">
        <v>24</v>
      </c>
      <c r="D701" s="13">
        <v>4</v>
      </c>
      <c r="E701" s="16">
        <v>688</v>
      </c>
      <c r="F701" s="13">
        <v>2752</v>
      </c>
      <c r="G701" s="13" t="s">
        <v>15</v>
      </c>
    </row>
    <row r="702" spans="1:7" x14ac:dyDescent="0.3">
      <c r="A702" s="13" t="s">
        <v>85</v>
      </c>
      <c r="B702" s="13" t="s">
        <v>387</v>
      </c>
      <c r="C702" s="13" t="s">
        <v>68</v>
      </c>
      <c r="D702" s="13">
        <v>6</v>
      </c>
      <c r="E702" s="16">
        <v>901</v>
      </c>
      <c r="F702" s="13">
        <v>5406</v>
      </c>
      <c r="G702" s="13" t="s">
        <v>15</v>
      </c>
    </row>
    <row r="703" spans="1:7" x14ac:dyDescent="0.3">
      <c r="A703" s="13" t="s">
        <v>189</v>
      </c>
      <c r="B703" s="13" t="s">
        <v>928</v>
      </c>
      <c r="C703" s="13" t="s">
        <v>65</v>
      </c>
      <c r="D703" s="13">
        <v>2</v>
      </c>
      <c r="E703" s="16">
        <v>718</v>
      </c>
      <c r="F703" s="13">
        <v>1436</v>
      </c>
      <c r="G703" s="13" t="s">
        <v>15</v>
      </c>
    </row>
    <row r="704" spans="1:7" x14ac:dyDescent="0.3">
      <c r="A704" s="13" t="s">
        <v>955</v>
      </c>
      <c r="B704" s="13" t="s">
        <v>956</v>
      </c>
      <c r="C704" s="13" t="s">
        <v>18</v>
      </c>
      <c r="D704" s="13">
        <v>6</v>
      </c>
      <c r="E704" s="16">
        <v>88</v>
      </c>
      <c r="F704" s="13">
        <v>528</v>
      </c>
      <c r="G704" s="13" t="s">
        <v>11</v>
      </c>
    </row>
    <row r="705" spans="1:7" x14ac:dyDescent="0.3">
      <c r="A705" s="13" t="s">
        <v>689</v>
      </c>
      <c r="B705" s="13" t="s">
        <v>768</v>
      </c>
      <c r="C705" s="13" t="s">
        <v>18</v>
      </c>
      <c r="D705" s="13">
        <v>1</v>
      </c>
      <c r="E705" s="16">
        <v>767</v>
      </c>
      <c r="F705" s="13">
        <v>767</v>
      </c>
      <c r="G705" s="13" t="s">
        <v>11</v>
      </c>
    </row>
    <row r="706" spans="1:7" x14ac:dyDescent="0.3">
      <c r="A706" s="13" t="s">
        <v>689</v>
      </c>
      <c r="B706" s="13" t="s">
        <v>1123</v>
      </c>
      <c r="C706" s="13" t="s">
        <v>24</v>
      </c>
      <c r="D706" s="13">
        <v>2</v>
      </c>
      <c r="E706" s="16">
        <v>944</v>
      </c>
      <c r="F706" s="13">
        <v>1888</v>
      </c>
      <c r="G706" s="13" t="s">
        <v>7</v>
      </c>
    </row>
    <row r="707" spans="1:7" x14ac:dyDescent="0.3">
      <c r="A707" s="13" t="s">
        <v>689</v>
      </c>
      <c r="B707" s="13" t="s">
        <v>690</v>
      </c>
      <c r="C707" s="13" t="s">
        <v>79</v>
      </c>
      <c r="D707" s="13">
        <v>6</v>
      </c>
      <c r="E707" s="16">
        <v>385</v>
      </c>
      <c r="F707" s="13">
        <v>2310</v>
      </c>
      <c r="G707" s="13" t="s">
        <v>15</v>
      </c>
    </row>
    <row r="708" spans="1:7" x14ac:dyDescent="0.3">
      <c r="A708" s="13" t="s">
        <v>354</v>
      </c>
      <c r="B708" s="13" t="s">
        <v>355</v>
      </c>
      <c r="C708" s="13" t="s">
        <v>18</v>
      </c>
      <c r="D708" s="13">
        <v>1</v>
      </c>
      <c r="E708" s="16">
        <v>125</v>
      </c>
      <c r="F708" s="13">
        <v>125</v>
      </c>
      <c r="G708" s="13" t="s">
        <v>33</v>
      </c>
    </row>
    <row r="709" spans="1:7" x14ac:dyDescent="0.3">
      <c r="A709" s="13" t="s">
        <v>34</v>
      </c>
      <c r="B709" s="13" t="s">
        <v>1234</v>
      </c>
      <c r="C709" s="13" t="s">
        <v>68</v>
      </c>
      <c r="D709" s="13">
        <v>1</v>
      </c>
      <c r="E709" s="16">
        <v>452</v>
      </c>
      <c r="F709" s="13">
        <v>452</v>
      </c>
      <c r="G709" s="13" t="s">
        <v>27</v>
      </c>
    </row>
    <row r="710" spans="1:7" x14ac:dyDescent="0.3">
      <c r="A710" s="13" t="s">
        <v>34</v>
      </c>
      <c r="B710" s="13" t="s">
        <v>860</v>
      </c>
      <c r="C710" s="13" t="s">
        <v>24</v>
      </c>
      <c r="D710" s="13">
        <v>2</v>
      </c>
      <c r="E710" s="16">
        <v>637</v>
      </c>
      <c r="F710" s="13">
        <v>1274</v>
      </c>
      <c r="G710" s="13" t="s">
        <v>7</v>
      </c>
    </row>
    <row r="711" spans="1:7" x14ac:dyDescent="0.3">
      <c r="A711" s="13" t="s">
        <v>34</v>
      </c>
      <c r="B711" s="13" t="s">
        <v>1030</v>
      </c>
      <c r="C711" s="13" t="s">
        <v>18</v>
      </c>
      <c r="D711" s="13">
        <v>3</v>
      </c>
      <c r="E711" s="16">
        <v>926</v>
      </c>
      <c r="F711" s="13">
        <v>2778</v>
      </c>
      <c r="G711" s="13" t="s">
        <v>7</v>
      </c>
    </row>
    <row r="712" spans="1:7" x14ac:dyDescent="0.3">
      <c r="A712" s="13" t="s">
        <v>34</v>
      </c>
      <c r="B712" s="13" t="s">
        <v>861</v>
      </c>
      <c r="C712" s="13" t="s">
        <v>18</v>
      </c>
      <c r="D712" s="13">
        <v>5</v>
      </c>
      <c r="E712" s="16">
        <v>742</v>
      </c>
      <c r="F712" s="13">
        <v>3710</v>
      </c>
      <c r="G712" s="13" t="s">
        <v>19</v>
      </c>
    </row>
    <row r="713" spans="1:7" x14ac:dyDescent="0.3">
      <c r="A713" s="13" t="s">
        <v>911</v>
      </c>
      <c r="B713" s="13" t="s">
        <v>912</v>
      </c>
      <c r="C713" s="13" t="s">
        <v>10</v>
      </c>
      <c r="D713" s="13">
        <v>2</v>
      </c>
      <c r="E713" s="16">
        <v>288</v>
      </c>
      <c r="F713" s="13">
        <v>576</v>
      </c>
      <c r="G713" s="13" t="s">
        <v>15</v>
      </c>
    </row>
    <row r="714" spans="1:7" x14ac:dyDescent="0.3">
      <c r="A714" s="13" t="s">
        <v>77</v>
      </c>
      <c r="B714" s="13" t="s">
        <v>78</v>
      </c>
      <c r="C714" s="13" t="s">
        <v>79</v>
      </c>
      <c r="D714" s="13">
        <v>4</v>
      </c>
      <c r="E714" s="16">
        <v>131</v>
      </c>
      <c r="F714" s="13">
        <v>524</v>
      </c>
      <c r="G714" s="13" t="s">
        <v>27</v>
      </c>
    </row>
    <row r="715" spans="1:7" x14ac:dyDescent="0.3">
      <c r="A715" s="13" t="s">
        <v>77</v>
      </c>
      <c r="B715" s="13" t="s">
        <v>204</v>
      </c>
      <c r="C715" s="13" t="s">
        <v>24</v>
      </c>
      <c r="D715" s="13">
        <v>5</v>
      </c>
      <c r="E715" s="16">
        <v>335</v>
      </c>
      <c r="F715" s="13">
        <v>1675</v>
      </c>
      <c r="G715" s="13" t="s">
        <v>19</v>
      </c>
    </row>
    <row r="716" spans="1:7" x14ac:dyDescent="0.3">
      <c r="A716" s="13" t="s">
        <v>77</v>
      </c>
      <c r="B716" s="13" t="s">
        <v>1304</v>
      </c>
      <c r="C716" s="13" t="s">
        <v>14</v>
      </c>
      <c r="D716" s="13">
        <v>6</v>
      </c>
      <c r="E716" s="16">
        <v>988</v>
      </c>
      <c r="F716" s="13">
        <v>5928</v>
      </c>
      <c r="G716" s="13" t="s">
        <v>27</v>
      </c>
    </row>
    <row r="717" spans="1:7" x14ac:dyDescent="0.3">
      <c r="A717" s="13" t="s">
        <v>900</v>
      </c>
      <c r="B717" s="13" t="s">
        <v>901</v>
      </c>
      <c r="C717" s="13" t="s">
        <v>79</v>
      </c>
      <c r="D717" s="13">
        <v>4</v>
      </c>
      <c r="E717" s="16">
        <v>298</v>
      </c>
      <c r="F717" s="13">
        <v>1192</v>
      </c>
      <c r="G717" s="13" t="s">
        <v>27</v>
      </c>
    </row>
    <row r="718" spans="1:7" x14ac:dyDescent="0.3">
      <c r="A718" s="13" t="s">
        <v>191</v>
      </c>
      <c r="B718" s="13" t="s">
        <v>192</v>
      </c>
      <c r="C718" s="13" t="s">
        <v>79</v>
      </c>
      <c r="D718" s="13">
        <v>1</v>
      </c>
      <c r="E718" s="16">
        <v>637</v>
      </c>
      <c r="F718" s="13">
        <v>637</v>
      </c>
      <c r="G718" s="13" t="s">
        <v>19</v>
      </c>
    </row>
    <row r="719" spans="1:7" x14ac:dyDescent="0.3">
      <c r="A719" s="13" t="s">
        <v>251</v>
      </c>
      <c r="B719" s="13" t="s">
        <v>252</v>
      </c>
      <c r="C719" s="13" t="s">
        <v>14</v>
      </c>
      <c r="D719" s="13">
        <v>5</v>
      </c>
      <c r="E719" s="16">
        <v>125</v>
      </c>
      <c r="F719" s="13">
        <v>625</v>
      </c>
      <c r="G719" s="13" t="s">
        <v>15</v>
      </c>
    </row>
    <row r="720" spans="1:7" x14ac:dyDescent="0.3">
      <c r="A720" s="13" t="s">
        <v>251</v>
      </c>
      <c r="B720" s="13" t="s">
        <v>465</v>
      </c>
      <c r="C720" s="13" t="s">
        <v>30</v>
      </c>
      <c r="D720" s="13">
        <v>6</v>
      </c>
      <c r="E720" s="16">
        <v>835</v>
      </c>
      <c r="F720" s="13">
        <v>5010</v>
      </c>
      <c r="G720" s="13" t="s">
        <v>33</v>
      </c>
    </row>
    <row r="721" spans="1:7" x14ac:dyDescent="0.3">
      <c r="A721" s="13" t="s">
        <v>817</v>
      </c>
      <c r="B721" s="13" t="s">
        <v>818</v>
      </c>
      <c r="C721" s="13" t="s">
        <v>30</v>
      </c>
      <c r="D721" s="13">
        <v>1</v>
      </c>
      <c r="E721" s="16">
        <v>412</v>
      </c>
      <c r="F721" s="13">
        <v>412</v>
      </c>
      <c r="G721" s="13" t="s">
        <v>7</v>
      </c>
    </row>
    <row r="722" spans="1:7" x14ac:dyDescent="0.3">
      <c r="A722" s="13" t="s">
        <v>817</v>
      </c>
      <c r="B722" s="13" t="s">
        <v>1045</v>
      </c>
      <c r="C722" s="13" t="s">
        <v>14</v>
      </c>
      <c r="D722" s="13">
        <v>6</v>
      </c>
      <c r="E722" s="16">
        <v>381</v>
      </c>
      <c r="F722" s="13">
        <v>2286</v>
      </c>
      <c r="G722" s="13" t="s">
        <v>27</v>
      </c>
    </row>
    <row r="723" spans="1:7" x14ac:dyDescent="0.3">
      <c r="A723" s="13" t="s">
        <v>745</v>
      </c>
      <c r="B723" s="13" t="s">
        <v>746</v>
      </c>
      <c r="C723" s="13" t="s">
        <v>38</v>
      </c>
      <c r="D723" s="13">
        <v>1</v>
      </c>
      <c r="E723" s="16">
        <v>788</v>
      </c>
      <c r="F723" s="13">
        <v>788</v>
      </c>
      <c r="G723" s="13" t="s">
        <v>19</v>
      </c>
    </row>
    <row r="724" spans="1:7" x14ac:dyDescent="0.3">
      <c r="A724" s="13" t="s">
        <v>745</v>
      </c>
      <c r="B724" s="13" t="s">
        <v>1186</v>
      </c>
      <c r="C724" s="13" t="s">
        <v>38</v>
      </c>
      <c r="D724" s="13">
        <v>3</v>
      </c>
      <c r="E724" s="16">
        <v>642</v>
      </c>
      <c r="F724" s="13">
        <v>1926</v>
      </c>
      <c r="G724" s="13" t="s">
        <v>7</v>
      </c>
    </row>
    <row r="725" spans="1:7" x14ac:dyDescent="0.3">
      <c r="A725" s="13" t="s">
        <v>552</v>
      </c>
      <c r="B725" s="13" t="s">
        <v>853</v>
      </c>
      <c r="C725" s="13" t="s">
        <v>6</v>
      </c>
      <c r="D725" s="13">
        <v>6</v>
      </c>
      <c r="E725" s="16">
        <v>407</v>
      </c>
      <c r="F725" s="13">
        <v>2442</v>
      </c>
      <c r="G725" s="13" t="s">
        <v>33</v>
      </c>
    </row>
    <row r="726" spans="1:7" x14ac:dyDescent="0.3">
      <c r="A726" s="13" t="s">
        <v>552</v>
      </c>
      <c r="B726" s="13" t="s">
        <v>874</v>
      </c>
      <c r="C726" s="13" t="s">
        <v>38</v>
      </c>
      <c r="D726" s="13">
        <v>5</v>
      </c>
      <c r="E726" s="16">
        <v>781</v>
      </c>
      <c r="F726" s="13">
        <v>3905</v>
      </c>
      <c r="G726" s="13" t="s">
        <v>11</v>
      </c>
    </row>
    <row r="727" spans="1:7" x14ac:dyDescent="0.3">
      <c r="A727" s="13" t="s">
        <v>304</v>
      </c>
      <c r="B727" s="13" t="s">
        <v>1199</v>
      </c>
      <c r="C727" s="13" t="s">
        <v>18</v>
      </c>
      <c r="D727" s="13">
        <v>2</v>
      </c>
      <c r="E727" s="16">
        <v>533</v>
      </c>
      <c r="F727" s="13">
        <v>1066</v>
      </c>
      <c r="G727" s="13" t="s">
        <v>11</v>
      </c>
    </row>
    <row r="728" spans="1:7" x14ac:dyDescent="0.3">
      <c r="A728" s="13" t="s">
        <v>304</v>
      </c>
      <c r="B728" s="13" t="s">
        <v>719</v>
      </c>
      <c r="C728" s="13" t="s">
        <v>30</v>
      </c>
      <c r="D728" s="13">
        <v>5</v>
      </c>
      <c r="E728" s="16">
        <v>739</v>
      </c>
      <c r="F728" s="13">
        <v>3695</v>
      </c>
      <c r="G728" s="13" t="s">
        <v>7</v>
      </c>
    </row>
    <row r="729" spans="1:7" x14ac:dyDescent="0.3">
      <c r="A729" s="13" t="s">
        <v>304</v>
      </c>
      <c r="B729" s="13" t="s">
        <v>305</v>
      </c>
      <c r="C729" s="13" t="s">
        <v>14</v>
      </c>
      <c r="D729" s="13">
        <v>5</v>
      </c>
      <c r="E729" s="16">
        <v>861</v>
      </c>
      <c r="F729" s="13">
        <v>4305</v>
      </c>
      <c r="G729" s="13" t="s">
        <v>15</v>
      </c>
    </row>
    <row r="730" spans="1:7" x14ac:dyDescent="0.3">
      <c r="A730" s="13" t="s">
        <v>453</v>
      </c>
      <c r="B730" s="13" t="s">
        <v>455</v>
      </c>
      <c r="C730" s="13" t="s">
        <v>24</v>
      </c>
      <c r="D730" s="13">
        <v>2</v>
      </c>
      <c r="E730" s="16">
        <v>133</v>
      </c>
      <c r="F730" s="13">
        <v>266</v>
      </c>
      <c r="G730" s="13" t="s">
        <v>19</v>
      </c>
    </row>
    <row r="731" spans="1:7" x14ac:dyDescent="0.3">
      <c r="A731" s="13" t="s">
        <v>829</v>
      </c>
      <c r="B731" s="13" t="s">
        <v>831</v>
      </c>
      <c r="C731" s="13" t="s">
        <v>68</v>
      </c>
      <c r="D731" s="13">
        <v>6</v>
      </c>
      <c r="E731" s="16">
        <v>674</v>
      </c>
      <c r="F731" s="13">
        <v>4044</v>
      </c>
      <c r="G731" s="13" t="s">
        <v>19</v>
      </c>
    </row>
    <row r="732" spans="1:7" x14ac:dyDescent="0.3">
      <c r="A732" s="13" t="s">
        <v>125</v>
      </c>
      <c r="B732" s="13" t="s">
        <v>126</v>
      </c>
      <c r="C732" s="13" t="s">
        <v>6</v>
      </c>
      <c r="D732" s="13">
        <v>3</v>
      </c>
      <c r="E732" s="16">
        <v>126</v>
      </c>
      <c r="F732" s="13">
        <v>378</v>
      </c>
      <c r="G732" s="13" t="s">
        <v>7</v>
      </c>
    </row>
    <row r="733" spans="1:7" x14ac:dyDescent="0.3">
      <c r="A733" s="13" t="s">
        <v>125</v>
      </c>
      <c r="B733" s="13" t="s">
        <v>661</v>
      </c>
      <c r="C733" s="13" t="s">
        <v>10</v>
      </c>
      <c r="D733" s="13">
        <v>4</v>
      </c>
      <c r="E733" s="16">
        <v>253</v>
      </c>
      <c r="F733" s="13">
        <v>1012</v>
      </c>
      <c r="G733" s="13" t="s">
        <v>33</v>
      </c>
    </row>
    <row r="734" spans="1:7" x14ac:dyDescent="0.3">
      <c r="A734" s="13" t="s">
        <v>592</v>
      </c>
      <c r="B734" s="13" t="s">
        <v>753</v>
      </c>
      <c r="C734" s="13" t="s">
        <v>30</v>
      </c>
      <c r="D734" s="13">
        <v>2</v>
      </c>
      <c r="E734" s="16">
        <v>694</v>
      </c>
      <c r="F734" s="13">
        <v>1388</v>
      </c>
      <c r="G734" s="13" t="s">
        <v>7</v>
      </c>
    </row>
    <row r="735" spans="1:7" x14ac:dyDescent="0.3">
      <c r="A735" s="13" t="s">
        <v>603</v>
      </c>
      <c r="B735" s="13" t="s">
        <v>726</v>
      </c>
      <c r="C735" s="13" t="s">
        <v>79</v>
      </c>
      <c r="D735" s="13">
        <v>1</v>
      </c>
      <c r="E735" s="16">
        <v>970</v>
      </c>
      <c r="F735" s="13">
        <v>970</v>
      </c>
      <c r="G735" s="13" t="s">
        <v>19</v>
      </c>
    </row>
    <row r="736" spans="1:7" x14ac:dyDescent="0.3">
      <c r="A736" s="13" t="s">
        <v>603</v>
      </c>
      <c r="B736" s="13" t="s">
        <v>698</v>
      </c>
      <c r="C736" s="13" t="s">
        <v>10</v>
      </c>
      <c r="D736" s="13">
        <v>5</v>
      </c>
      <c r="E736" s="16">
        <v>912</v>
      </c>
      <c r="F736" s="13">
        <v>4560</v>
      </c>
      <c r="G736" s="13" t="s">
        <v>7</v>
      </c>
    </row>
    <row r="737" spans="1:7" x14ac:dyDescent="0.3">
      <c r="A737" s="13" t="s">
        <v>1052</v>
      </c>
      <c r="B737" s="13" t="s">
        <v>1053</v>
      </c>
      <c r="C737" s="13" t="s">
        <v>18</v>
      </c>
      <c r="D737" s="13">
        <v>2</v>
      </c>
      <c r="E737" s="16">
        <v>821</v>
      </c>
      <c r="F737" s="13">
        <v>1642</v>
      </c>
      <c r="G737" s="13" t="s">
        <v>27</v>
      </c>
    </row>
    <row r="738" spans="1:7" x14ac:dyDescent="0.3">
      <c r="A738" s="13" t="s">
        <v>100</v>
      </c>
      <c r="B738" s="13" t="s">
        <v>821</v>
      </c>
      <c r="C738" s="13" t="s">
        <v>24</v>
      </c>
      <c r="D738" s="13">
        <v>1</v>
      </c>
      <c r="E738" s="16">
        <v>938</v>
      </c>
      <c r="F738" s="13">
        <v>938</v>
      </c>
      <c r="G738" s="13" t="s">
        <v>7</v>
      </c>
    </row>
    <row r="739" spans="1:7" x14ac:dyDescent="0.3">
      <c r="A739" s="13" t="s">
        <v>100</v>
      </c>
      <c r="B739" s="13" t="s">
        <v>101</v>
      </c>
      <c r="C739" s="13" t="s">
        <v>14</v>
      </c>
      <c r="D739" s="13">
        <v>4</v>
      </c>
      <c r="E739" s="16">
        <v>409</v>
      </c>
      <c r="F739" s="13">
        <v>1636</v>
      </c>
      <c r="G739" s="13" t="s">
        <v>11</v>
      </c>
    </row>
    <row r="740" spans="1:7" x14ac:dyDescent="0.3">
      <c r="A740" s="13" t="s">
        <v>1190</v>
      </c>
      <c r="B740" s="13" t="s">
        <v>1191</v>
      </c>
      <c r="C740" s="13" t="s">
        <v>65</v>
      </c>
      <c r="D740" s="13">
        <v>4</v>
      </c>
      <c r="E740" s="16">
        <v>402</v>
      </c>
      <c r="F740" s="13">
        <v>1608</v>
      </c>
      <c r="G740" s="13" t="s">
        <v>7</v>
      </c>
    </row>
    <row r="741" spans="1:7" x14ac:dyDescent="0.3">
      <c r="A741" s="13" t="s">
        <v>308</v>
      </c>
      <c r="B741" s="13" t="s">
        <v>309</v>
      </c>
      <c r="C741" s="13" t="s">
        <v>10</v>
      </c>
      <c r="D741" s="13">
        <v>4</v>
      </c>
      <c r="E741" s="16">
        <v>292</v>
      </c>
      <c r="F741" s="13">
        <v>1168</v>
      </c>
      <c r="G741" s="13" t="s">
        <v>11</v>
      </c>
    </row>
    <row r="742" spans="1:7" x14ac:dyDescent="0.3">
      <c r="A742" s="13" t="s">
        <v>308</v>
      </c>
      <c r="B742" s="13" t="s">
        <v>597</v>
      </c>
      <c r="C742" s="13" t="s">
        <v>10</v>
      </c>
      <c r="D742" s="13">
        <v>4</v>
      </c>
      <c r="E742" s="16">
        <v>738</v>
      </c>
      <c r="F742" s="13">
        <v>2952</v>
      </c>
      <c r="G742" s="13" t="s">
        <v>33</v>
      </c>
    </row>
    <row r="743" spans="1:7" x14ac:dyDescent="0.3">
      <c r="A743" s="13" t="s">
        <v>763</v>
      </c>
      <c r="B743" s="13" t="s">
        <v>764</v>
      </c>
      <c r="C743" s="13" t="s">
        <v>79</v>
      </c>
      <c r="D743" s="13">
        <v>5</v>
      </c>
      <c r="E743" s="16">
        <v>298</v>
      </c>
      <c r="F743" s="13">
        <v>1490</v>
      </c>
      <c r="G743" s="13" t="s">
        <v>33</v>
      </c>
    </row>
    <row r="744" spans="1:7" x14ac:dyDescent="0.3">
      <c r="A744" s="13" t="s">
        <v>763</v>
      </c>
      <c r="B744" s="13" t="s">
        <v>1158</v>
      </c>
      <c r="C744" s="13" t="s">
        <v>18</v>
      </c>
      <c r="D744" s="13">
        <v>2</v>
      </c>
      <c r="E744" s="16">
        <v>970</v>
      </c>
      <c r="F744" s="13">
        <v>1940</v>
      </c>
      <c r="G744" s="13" t="s">
        <v>11</v>
      </c>
    </row>
    <row r="745" spans="1:7" x14ac:dyDescent="0.3">
      <c r="A745" s="13" t="s">
        <v>129</v>
      </c>
      <c r="B745" s="13" t="s">
        <v>130</v>
      </c>
      <c r="C745" s="13" t="s">
        <v>18</v>
      </c>
      <c r="D745" s="13">
        <v>6</v>
      </c>
      <c r="E745" s="16">
        <v>702</v>
      </c>
      <c r="F745" s="13">
        <v>4212</v>
      </c>
      <c r="G745" s="13" t="s">
        <v>11</v>
      </c>
    </row>
    <row r="746" spans="1:7" x14ac:dyDescent="0.3">
      <c r="A746" s="13" t="s">
        <v>565</v>
      </c>
      <c r="B746" s="13" t="s">
        <v>566</v>
      </c>
      <c r="C746" s="13" t="s">
        <v>14</v>
      </c>
      <c r="D746" s="13">
        <v>1</v>
      </c>
      <c r="E746" s="16">
        <v>577</v>
      </c>
      <c r="F746" s="13">
        <v>577</v>
      </c>
      <c r="G746" s="13" t="s">
        <v>33</v>
      </c>
    </row>
    <row r="747" spans="1:7" x14ac:dyDescent="0.3">
      <c r="A747" s="13" t="s">
        <v>428</v>
      </c>
      <c r="B747" s="13" t="s">
        <v>431</v>
      </c>
      <c r="C747" s="13" t="s">
        <v>65</v>
      </c>
      <c r="D747" s="13">
        <v>1</v>
      </c>
      <c r="E747" s="16">
        <v>207</v>
      </c>
      <c r="F747" s="13">
        <v>207</v>
      </c>
      <c r="G747" s="13" t="s">
        <v>27</v>
      </c>
    </row>
    <row r="748" spans="1:7" x14ac:dyDescent="0.3">
      <c r="A748" s="13" t="s">
        <v>428</v>
      </c>
      <c r="B748" s="13" t="s">
        <v>703</v>
      </c>
      <c r="C748" s="13" t="s">
        <v>79</v>
      </c>
      <c r="D748" s="13">
        <v>1</v>
      </c>
      <c r="E748" s="16">
        <v>569</v>
      </c>
      <c r="F748" s="13">
        <v>569</v>
      </c>
      <c r="G748" s="13" t="s">
        <v>11</v>
      </c>
    </row>
    <row r="749" spans="1:7" x14ac:dyDescent="0.3">
      <c r="A749" s="13" t="s">
        <v>428</v>
      </c>
      <c r="B749" s="13" t="s">
        <v>429</v>
      </c>
      <c r="C749" s="13" t="s">
        <v>18</v>
      </c>
      <c r="D749" s="13">
        <v>2</v>
      </c>
      <c r="E749" s="16">
        <v>656</v>
      </c>
      <c r="F749" s="13">
        <v>1312</v>
      </c>
      <c r="G749" s="13" t="s">
        <v>19</v>
      </c>
    </row>
    <row r="750" spans="1:7" x14ac:dyDescent="0.3">
      <c r="A750" s="13" t="s">
        <v>428</v>
      </c>
      <c r="B750" s="13" t="s">
        <v>430</v>
      </c>
      <c r="C750" s="13" t="s">
        <v>6</v>
      </c>
      <c r="D750" s="13">
        <v>6</v>
      </c>
      <c r="E750" s="16">
        <v>644</v>
      </c>
      <c r="F750" s="13">
        <v>3864</v>
      </c>
      <c r="G750" s="13" t="s">
        <v>15</v>
      </c>
    </row>
    <row r="751" spans="1:7" x14ac:dyDescent="0.3">
      <c r="A751" s="13" t="s">
        <v>226</v>
      </c>
      <c r="B751" s="13" t="s">
        <v>583</v>
      </c>
      <c r="C751" s="13" t="s">
        <v>79</v>
      </c>
      <c r="D751" s="13">
        <v>5</v>
      </c>
      <c r="E751" s="16">
        <v>270</v>
      </c>
      <c r="F751" s="13">
        <v>1350</v>
      </c>
      <c r="G751" s="13" t="s">
        <v>11</v>
      </c>
    </row>
    <row r="752" spans="1:7" x14ac:dyDescent="0.3">
      <c r="A752" s="13" t="s">
        <v>226</v>
      </c>
      <c r="B752" s="13" t="s">
        <v>411</v>
      </c>
      <c r="C752" s="13" t="s">
        <v>79</v>
      </c>
      <c r="D752" s="13">
        <v>4</v>
      </c>
      <c r="E752" s="16">
        <v>700</v>
      </c>
      <c r="F752" s="13">
        <v>2800</v>
      </c>
      <c r="G752" s="13" t="s">
        <v>27</v>
      </c>
    </row>
    <row r="753" spans="1:7" x14ac:dyDescent="0.3">
      <c r="A753" s="13" t="s">
        <v>235</v>
      </c>
      <c r="B753" s="13" t="s">
        <v>573</v>
      </c>
      <c r="C753" s="13" t="s">
        <v>6</v>
      </c>
      <c r="D753" s="13">
        <v>1</v>
      </c>
      <c r="E753" s="16">
        <v>559</v>
      </c>
      <c r="F753" s="13">
        <v>559</v>
      </c>
      <c r="G753" s="13" t="s">
        <v>7</v>
      </c>
    </row>
    <row r="754" spans="1:7" x14ac:dyDescent="0.3">
      <c r="A754" s="13" t="s">
        <v>235</v>
      </c>
      <c r="B754" s="13" t="s">
        <v>762</v>
      </c>
      <c r="C754" s="13" t="s">
        <v>79</v>
      </c>
      <c r="D754" s="13">
        <v>2</v>
      </c>
      <c r="E754" s="16">
        <v>747</v>
      </c>
      <c r="F754" s="13">
        <v>1494</v>
      </c>
      <c r="G754" s="13" t="s">
        <v>33</v>
      </c>
    </row>
    <row r="755" spans="1:7" x14ac:dyDescent="0.3">
      <c r="A755" s="13" t="s">
        <v>420</v>
      </c>
      <c r="B755" s="13" t="s">
        <v>1302</v>
      </c>
      <c r="C755" s="13" t="s">
        <v>18</v>
      </c>
      <c r="D755" s="13">
        <v>6</v>
      </c>
      <c r="E755" s="16">
        <v>289</v>
      </c>
      <c r="F755" s="13">
        <v>1734</v>
      </c>
      <c r="G755" s="13" t="s">
        <v>33</v>
      </c>
    </row>
    <row r="756" spans="1:7" x14ac:dyDescent="0.3">
      <c r="A756" s="13" t="s">
        <v>420</v>
      </c>
      <c r="B756" s="13" t="s">
        <v>421</v>
      </c>
      <c r="C756" s="13" t="s">
        <v>65</v>
      </c>
      <c r="D756" s="13">
        <v>4</v>
      </c>
      <c r="E756" s="16">
        <v>679</v>
      </c>
      <c r="F756" s="13">
        <v>2716</v>
      </c>
      <c r="G756" s="13" t="s">
        <v>15</v>
      </c>
    </row>
    <row r="757" spans="1:7" x14ac:dyDescent="0.3">
      <c r="A757" s="13" t="s">
        <v>142</v>
      </c>
      <c r="B757" s="13" t="s">
        <v>1261</v>
      </c>
      <c r="C757" s="13" t="s">
        <v>38</v>
      </c>
      <c r="D757" s="13">
        <v>2</v>
      </c>
      <c r="E757" s="16">
        <v>243</v>
      </c>
      <c r="F757" s="13">
        <v>486</v>
      </c>
      <c r="G757" s="13" t="s">
        <v>15</v>
      </c>
    </row>
    <row r="758" spans="1:7" x14ac:dyDescent="0.3">
      <c r="A758" s="13" t="s">
        <v>789</v>
      </c>
      <c r="B758" s="13" t="s">
        <v>1303</v>
      </c>
      <c r="C758" s="13" t="s">
        <v>24</v>
      </c>
      <c r="D758" s="13">
        <v>2</v>
      </c>
      <c r="E758" s="16">
        <v>885</v>
      </c>
      <c r="F758" s="13">
        <v>1770</v>
      </c>
      <c r="G758" s="13" t="s">
        <v>15</v>
      </c>
    </row>
    <row r="759" spans="1:7" x14ac:dyDescent="0.3">
      <c r="A759" s="13" t="s">
        <v>789</v>
      </c>
      <c r="B759" s="13" t="s">
        <v>790</v>
      </c>
      <c r="C759" s="13" t="s">
        <v>10</v>
      </c>
      <c r="D759" s="13">
        <v>3</v>
      </c>
      <c r="E759" s="16">
        <v>943</v>
      </c>
      <c r="F759" s="13">
        <v>2829</v>
      </c>
      <c r="G759" s="13" t="s">
        <v>33</v>
      </c>
    </row>
    <row r="760" spans="1:7" x14ac:dyDescent="0.3">
      <c r="A760" s="13" t="s">
        <v>844</v>
      </c>
      <c r="B760" s="13" t="s">
        <v>1144</v>
      </c>
      <c r="C760" s="13" t="s">
        <v>10</v>
      </c>
      <c r="D760" s="13">
        <v>3</v>
      </c>
      <c r="E760" s="16">
        <v>203</v>
      </c>
      <c r="F760" s="13">
        <v>609</v>
      </c>
      <c r="G760" s="13" t="s">
        <v>33</v>
      </c>
    </row>
    <row r="761" spans="1:7" x14ac:dyDescent="0.3">
      <c r="A761" s="13" t="s">
        <v>98</v>
      </c>
      <c r="B761" s="13" t="s">
        <v>99</v>
      </c>
      <c r="C761" s="13" t="s">
        <v>68</v>
      </c>
      <c r="D761" s="13">
        <v>1</v>
      </c>
      <c r="E761" s="16">
        <v>504</v>
      </c>
      <c r="F761" s="13">
        <v>504</v>
      </c>
      <c r="G761" s="13" t="s">
        <v>27</v>
      </c>
    </row>
    <row r="762" spans="1:7" x14ac:dyDescent="0.3">
      <c r="A762" s="13" t="s">
        <v>98</v>
      </c>
      <c r="B762" s="13" t="s">
        <v>1122</v>
      </c>
      <c r="C762" s="13" t="s">
        <v>14</v>
      </c>
      <c r="D762" s="13">
        <v>2</v>
      </c>
      <c r="E762" s="16">
        <v>660</v>
      </c>
      <c r="F762" s="13">
        <v>1320</v>
      </c>
      <c r="G762" s="13" t="s">
        <v>27</v>
      </c>
    </row>
    <row r="763" spans="1:7" x14ac:dyDescent="0.3">
      <c r="A763" s="13" t="s">
        <v>98</v>
      </c>
      <c r="B763" s="13" t="s">
        <v>389</v>
      </c>
      <c r="C763" s="13" t="s">
        <v>65</v>
      </c>
      <c r="D763" s="13">
        <v>4</v>
      </c>
      <c r="E763" s="16">
        <v>580</v>
      </c>
      <c r="F763" s="13">
        <v>2320</v>
      </c>
      <c r="G763" s="13" t="s">
        <v>19</v>
      </c>
    </row>
    <row r="764" spans="1:7" x14ac:dyDescent="0.3">
      <c r="A764" s="13" t="s">
        <v>61</v>
      </c>
      <c r="B764" s="13" t="s">
        <v>1175</v>
      </c>
      <c r="C764" s="13" t="s">
        <v>18</v>
      </c>
      <c r="D764" s="13">
        <v>1</v>
      </c>
      <c r="E764" s="16">
        <v>876</v>
      </c>
      <c r="F764" s="13">
        <v>876</v>
      </c>
      <c r="G764" s="13" t="s">
        <v>27</v>
      </c>
    </row>
    <row r="765" spans="1:7" x14ac:dyDescent="0.3">
      <c r="A765" s="13" t="s">
        <v>61</v>
      </c>
      <c r="B765" s="13" t="s">
        <v>62</v>
      </c>
      <c r="C765" s="13" t="s">
        <v>18</v>
      </c>
      <c r="D765" s="13">
        <v>2</v>
      </c>
      <c r="E765" s="16">
        <v>666</v>
      </c>
      <c r="F765" s="13">
        <v>1332</v>
      </c>
      <c r="G765" s="13" t="s">
        <v>11</v>
      </c>
    </row>
    <row r="766" spans="1:7" x14ac:dyDescent="0.3">
      <c r="A766" s="13" t="s">
        <v>322</v>
      </c>
      <c r="B766" s="13" t="s">
        <v>323</v>
      </c>
      <c r="C766" s="13" t="s">
        <v>24</v>
      </c>
      <c r="D766" s="13">
        <v>3</v>
      </c>
      <c r="E766" s="16">
        <v>872</v>
      </c>
      <c r="F766" s="13">
        <v>2616</v>
      </c>
      <c r="G766" s="13" t="s">
        <v>33</v>
      </c>
    </row>
    <row r="767" spans="1:7" x14ac:dyDescent="0.3">
      <c r="A767" s="13" t="s">
        <v>1259</v>
      </c>
      <c r="B767" s="13" t="s">
        <v>777</v>
      </c>
      <c r="C767" s="13" t="s">
        <v>10</v>
      </c>
      <c r="D767" s="13">
        <v>6</v>
      </c>
      <c r="E767" s="16">
        <v>639</v>
      </c>
      <c r="F767" s="13">
        <v>3834</v>
      </c>
      <c r="G767" s="13" t="s">
        <v>15</v>
      </c>
    </row>
    <row r="768" spans="1:7" x14ac:dyDescent="0.3">
      <c r="A768" s="13" t="s">
        <v>930</v>
      </c>
      <c r="B768" s="13" t="s">
        <v>1137</v>
      </c>
      <c r="C768" s="13" t="s">
        <v>65</v>
      </c>
      <c r="D768" s="13">
        <v>5</v>
      </c>
      <c r="E768" s="16">
        <v>898</v>
      </c>
      <c r="F768" s="13">
        <v>4490</v>
      </c>
      <c r="G768" s="13" t="s">
        <v>7</v>
      </c>
    </row>
    <row r="769" spans="1:7" x14ac:dyDescent="0.3">
      <c r="A769" s="13" t="s">
        <v>274</v>
      </c>
      <c r="B769" s="13" t="s">
        <v>1289</v>
      </c>
      <c r="C769" s="13" t="s">
        <v>79</v>
      </c>
      <c r="D769" s="13">
        <v>3</v>
      </c>
      <c r="E769" s="16">
        <v>808</v>
      </c>
      <c r="F769" s="13">
        <v>2424</v>
      </c>
      <c r="G769" s="13" t="s">
        <v>11</v>
      </c>
    </row>
    <row r="770" spans="1:7" x14ac:dyDescent="0.3">
      <c r="A770" s="13" t="s">
        <v>326</v>
      </c>
      <c r="B770" s="13" t="s">
        <v>327</v>
      </c>
      <c r="C770" s="13" t="s">
        <v>24</v>
      </c>
      <c r="D770" s="13">
        <v>6</v>
      </c>
      <c r="E770" s="16">
        <v>182</v>
      </c>
      <c r="F770" s="13">
        <v>1092</v>
      </c>
      <c r="G770" s="13" t="s">
        <v>19</v>
      </c>
    </row>
    <row r="771" spans="1:7" x14ac:dyDescent="0.3">
      <c r="A771" s="13" t="s">
        <v>326</v>
      </c>
      <c r="B771" s="13" t="s">
        <v>882</v>
      </c>
      <c r="C771" s="13" t="s">
        <v>65</v>
      </c>
      <c r="D771" s="13">
        <v>4</v>
      </c>
      <c r="E771" s="16">
        <v>312</v>
      </c>
      <c r="F771" s="13">
        <v>1248</v>
      </c>
      <c r="G771" s="13" t="s">
        <v>11</v>
      </c>
    </row>
    <row r="772" spans="1:7" x14ac:dyDescent="0.3">
      <c r="A772" s="13" t="s">
        <v>43</v>
      </c>
      <c r="B772" s="13" t="s">
        <v>522</v>
      </c>
      <c r="C772" s="13" t="s">
        <v>14</v>
      </c>
      <c r="D772" s="13">
        <v>2</v>
      </c>
      <c r="E772" s="16">
        <v>577</v>
      </c>
      <c r="F772" s="13">
        <v>1154</v>
      </c>
      <c r="G772" s="13" t="s">
        <v>7</v>
      </c>
    </row>
    <row r="773" spans="1:7" x14ac:dyDescent="0.3">
      <c r="A773" s="13" t="s">
        <v>43</v>
      </c>
      <c r="B773" s="13" t="s">
        <v>47</v>
      </c>
      <c r="C773" s="13" t="s">
        <v>18</v>
      </c>
      <c r="D773" s="13">
        <v>4</v>
      </c>
      <c r="E773" s="16">
        <v>581</v>
      </c>
      <c r="F773" s="13">
        <v>2324</v>
      </c>
      <c r="G773" s="13" t="s">
        <v>15</v>
      </c>
    </row>
    <row r="774" spans="1:7" x14ac:dyDescent="0.3">
      <c r="A774" s="13" t="s">
        <v>43</v>
      </c>
      <c r="B774" s="13" t="s">
        <v>44</v>
      </c>
      <c r="C774" s="13" t="s">
        <v>6</v>
      </c>
      <c r="D774" s="13">
        <v>5</v>
      </c>
      <c r="E774" s="16">
        <v>996</v>
      </c>
      <c r="F774" s="13">
        <v>4980</v>
      </c>
      <c r="G774" s="13" t="s">
        <v>15</v>
      </c>
    </row>
    <row r="775" spans="1:7" x14ac:dyDescent="0.3">
      <c r="A775" s="13" t="s">
        <v>499</v>
      </c>
      <c r="B775" s="13" t="s">
        <v>654</v>
      </c>
      <c r="C775" s="13" t="s">
        <v>18</v>
      </c>
      <c r="D775" s="13">
        <v>4</v>
      </c>
      <c r="E775" s="16">
        <v>397</v>
      </c>
      <c r="F775" s="13">
        <v>1588</v>
      </c>
      <c r="G775" s="13" t="s">
        <v>19</v>
      </c>
    </row>
    <row r="776" spans="1:7" x14ac:dyDescent="0.3">
      <c r="A776" s="13" t="s">
        <v>162</v>
      </c>
      <c r="B776" s="13" t="s">
        <v>163</v>
      </c>
      <c r="C776" s="13" t="s">
        <v>18</v>
      </c>
      <c r="D776" s="13">
        <v>3</v>
      </c>
      <c r="E776" s="16">
        <v>847</v>
      </c>
      <c r="F776" s="13">
        <v>2541</v>
      </c>
      <c r="G776" s="13" t="s">
        <v>27</v>
      </c>
    </row>
    <row r="777" spans="1:7" x14ac:dyDescent="0.3">
      <c r="A777" s="13" t="s">
        <v>351</v>
      </c>
      <c r="B777" s="13" t="s">
        <v>490</v>
      </c>
      <c r="C777" s="13" t="s">
        <v>6</v>
      </c>
      <c r="D777" s="13">
        <v>2</v>
      </c>
      <c r="E777" s="16">
        <v>514</v>
      </c>
      <c r="F777" s="13">
        <v>1028</v>
      </c>
      <c r="G777" s="13" t="s">
        <v>11</v>
      </c>
    </row>
    <row r="778" spans="1:7" x14ac:dyDescent="0.3">
      <c r="A778" s="13" t="s">
        <v>351</v>
      </c>
      <c r="B778" s="13" t="s">
        <v>489</v>
      </c>
      <c r="C778" s="13" t="s">
        <v>30</v>
      </c>
      <c r="D778" s="13">
        <v>4</v>
      </c>
      <c r="E778" s="16">
        <v>354</v>
      </c>
      <c r="F778" s="13">
        <v>1416</v>
      </c>
      <c r="G778" s="13" t="s">
        <v>15</v>
      </c>
    </row>
    <row r="779" spans="1:7" x14ac:dyDescent="0.3">
      <c r="A779" s="13" t="s">
        <v>351</v>
      </c>
      <c r="B779" s="13" t="s">
        <v>1311</v>
      </c>
      <c r="C779" s="13" t="s">
        <v>65</v>
      </c>
      <c r="D779" s="13">
        <v>6</v>
      </c>
      <c r="E779" s="16">
        <v>888</v>
      </c>
      <c r="F779" s="13">
        <v>5328</v>
      </c>
      <c r="G779" s="13" t="s">
        <v>27</v>
      </c>
    </row>
    <row r="780" spans="1:7" x14ac:dyDescent="0.3">
      <c r="A780" s="13" t="s">
        <v>547</v>
      </c>
      <c r="B780" s="13" t="s">
        <v>798</v>
      </c>
      <c r="C780" s="13" t="s">
        <v>68</v>
      </c>
      <c r="D780" s="13">
        <v>2</v>
      </c>
      <c r="E780" s="16">
        <v>191</v>
      </c>
      <c r="F780" s="13">
        <v>382</v>
      </c>
      <c r="G780" s="13" t="s">
        <v>33</v>
      </c>
    </row>
    <row r="781" spans="1:7" x14ac:dyDescent="0.3">
      <c r="A781" s="13" t="s">
        <v>547</v>
      </c>
      <c r="B781" s="13" t="s">
        <v>571</v>
      </c>
      <c r="C781" s="13" t="s">
        <v>30</v>
      </c>
      <c r="D781" s="13">
        <v>4</v>
      </c>
      <c r="E781" s="16">
        <v>551</v>
      </c>
      <c r="F781" s="13">
        <v>2204</v>
      </c>
      <c r="G781" s="13" t="s">
        <v>19</v>
      </c>
    </row>
    <row r="782" spans="1:7" x14ac:dyDescent="0.3">
      <c r="A782" s="13" t="s">
        <v>754</v>
      </c>
      <c r="B782" s="13" t="s">
        <v>1007</v>
      </c>
      <c r="C782" s="13" t="s">
        <v>38</v>
      </c>
      <c r="D782" s="13">
        <v>2</v>
      </c>
      <c r="E782" s="16">
        <v>165</v>
      </c>
      <c r="F782" s="13">
        <v>330</v>
      </c>
      <c r="G782" s="13" t="s">
        <v>7</v>
      </c>
    </row>
    <row r="783" spans="1:7" x14ac:dyDescent="0.3">
      <c r="A783" s="13" t="s">
        <v>57</v>
      </c>
      <c r="B783" s="13" t="s">
        <v>1253</v>
      </c>
      <c r="C783" s="13" t="s">
        <v>38</v>
      </c>
      <c r="D783" s="13">
        <v>2</v>
      </c>
      <c r="E783" s="16">
        <v>285</v>
      </c>
      <c r="F783" s="13">
        <v>570</v>
      </c>
      <c r="G783" s="13" t="s">
        <v>33</v>
      </c>
    </row>
    <row r="784" spans="1:7" x14ac:dyDescent="0.3">
      <c r="A784" s="13" t="s">
        <v>57</v>
      </c>
      <c r="B784" s="13" t="s">
        <v>394</v>
      </c>
      <c r="C784" s="13" t="s">
        <v>18</v>
      </c>
      <c r="D784" s="13">
        <v>4</v>
      </c>
      <c r="E784" s="16">
        <v>215</v>
      </c>
      <c r="F784" s="13">
        <v>860</v>
      </c>
      <c r="G784" s="13" t="s">
        <v>11</v>
      </c>
    </row>
    <row r="785" spans="1:7" x14ac:dyDescent="0.3">
      <c r="A785" s="13" t="s">
        <v>232</v>
      </c>
      <c r="B785" s="13" t="s">
        <v>332</v>
      </c>
      <c r="C785" s="13" t="s">
        <v>30</v>
      </c>
      <c r="D785" s="13">
        <v>2</v>
      </c>
      <c r="E785" s="16">
        <v>138</v>
      </c>
      <c r="F785" s="13">
        <v>276</v>
      </c>
      <c r="G785" s="13" t="s">
        <v>11</v>
      </c>
    </row>
    <row r="786" spans="1:7" x14ac:dyDescent="0.3">
      <c r="A786" s="13" t="s">
        <v>232</v>
      </c>
      <c r="B786" s="13" t="s">
        <v>1274</v>
      </c>
      <c r="C786" s="13" t="s">
        <v>6</v>
      </c>
      <c r="D786" s="13">
        <v>5</v>
      </c>
      <c r="E786" s="16">
        <v>66</v>
      </c>
      <c r="F786" s="13">
        <v>330</v>
      </c>
      <c r="G786" s="13" t="s">
        <v>7</v>
      </c>
    </row>
    <row r="787" spans="1:7" x14ac:dyDescent="0.3">
      <c r="A787" s="13" t="s">
        <v>232</v>
      </c>
      <c r="B787" s="13" t="s">
        <v>233</v>
      </c>
      <c r="C787" s="13" t="s">
        <v>6</v>
      </c>
      <c r="D787" s="13">
        <v>2</v>
      </c>
      <c r="E787" s="16">
        <v>506</v>
      </c>
      <c r="F787" s="13">
        <v>1012</v>
      </c>
      <c r="G787" s="13" t="s">
        <v>15</v>
      </c>
    </row>
    <row r="788" spans="1:7" x14ac:dyDescent="0.3">
      <c r="A788" s="13" t="s">
        <v>232</v>
      </c>
      <c r="B788" s="13" t="s">
        <v>1273</v>
      </c>
      <c r="C788" s="13" t="s">
        <v>6</v>
      </c>
      <c r="D788" s="13">
        <v>5</v>
      </c>
      <c r="E788" s="16">
        <v>960</v>
      </c>
      <c r="F788" s="13">
        <v>4800</v>
      </c>
      <c r="G788" s="13" t="s">
        <v>7</v>
      </c>
    </row>
    <row r="789" spans="1:7" x14ac:dyDescent="0.3">
      <c r="A789" s="13" t="s">
        <v>279</v>
      </c>
      <c r="B789" s="13" t="s">
        <v>611</v>
      </c>
      <c r="C789" s="13" t="s">
        <v>6</v>
      </c>
      <c r="D789" s="13">
        <v>6</v>
      </c>
      <c r="E789" s="16">
        <v>320</v>
      </c>
      <c r="F789" s="13">
        <v>1920</v>
      </c>
      <c r="G789" s="13" t="s">
        <v>7</v>
      </c>
    </row>
    <row r="790" spans="1:7" x14ac:dyDescent="0.3">
      <c r="A790" s="13" t="s">
        <v>140</v>
      </c>
      <c r="B790" s="13" t="s">
        <v>868</v>
      </c>
      <c r="C790" s="13" t="s">
        <v>79</v>
      </c>
      <c r="D790" s="13">
        <v>1</v>
      </c>
      <c r="E790" s="16">
        <v>841</v>
      </c>
      <c r="F790" s="13">
        <v>841</v>
      </c>
      <c r="G790" s="13" t="s">
        <v>11</v>
      </c>
    </row>
    <row r="791" spans="1:7" x14ac:dyDescent="0.3">
      <c r="A791" s="13" t="s">
        <v>140</v>
      </c>
      <c r="B791" s="13" t="s">
        <v>141</v>
      </c>
      <c r="C791" s="13" t="s">
        <v>14</v>
      </c>
      <c r="D791" s="13">
        <v>5</v>
      </c>
      <c r="E791" s="16">
        <v>745</v>
      </c>
      <c r="F791" s="13">
        <v>3725</v>
      </c>
      <c r="G791" s="13" t="s">
        <v>27</v>
      </c>
    </row>
    <row r="792" spans="1:7" x14ac:dyDescent="0.3">
      <c r="A792" s="13" t="s">
        <v>493</v>
      </c>
      <c r="B792" s="13" t="s">
        <v>514</v>
      </c>
      <c r="C792" s="13" t="s">
        <v>68</v>
      </c>
      <c r="D792" s="13">
        <v>2</v>
      </c>
      <c r="E792" s="16">
        <v>376</v>
      </c>
      <c r="F792" s="13">
        <v>752</v>
      </c>
      <c r="G792" s="13" t="s">
        <v>33</v>
      </c>
    </row>
    <row r="793" spans="1:7" x14ac:dyDescent="0.3">
      <c r="A793" s="13" t="s">
        <v>493</v>
      </c>
      <c r="B793" s="13" t="s">
        <v>1051</v>
      </c>
      <c r="C793" s="13" t="s">
        <v>18</v>
      </c>
      <c r="D793" s="13">
        <v>5</v>
      </c>
      <c r="E793" s="16">
        <v>507</v>
      </c>
      <c r="F793" s="13">
        <v>2535</v>
      </c>
      <c r="G793" s="13" t="s">
        <v>7</v>
      </c>
    </row>
    <row r="794" spans="1:7" x14ac:dyDescent="0.3">
      <c r="A794" s="13" t="s">
        <v>635</v>
      </c>
      <c r="B794" s="13" t="s">
        <v>636</v>
      </c>
      <c r="C794" s="13" t="s">
        <v>6</v>
      </c>
      <c r="D794" s="13">
        <v>5</v>
      </c>
      <c r="E794" s="16">
        <v>511</v>
      </c>
      <c r="F794" s="13">
        <v>2555</v>
      </c>
      <c r="G794" s="13" t="s">
        <v>7</v>
      </c>
    </row>
    <row r="795" spans="1:7" x14ac:dyDescent="0.3">
      <c r="A795" s="13" t="s">
        <v>146</v>
      </c>
      <c r="B795" s="13" t="s">
        <v>944</v>
      </c>
      <c r="C795" s="13" t="s">
        <v>18</v>
      </c>
      <c r="D795" s="13">
        <v>4</v>
      </c>
      <c r="E795" s="16">
        <v>979</v>
      </c>
      <c r="F795" s="13">
        <v>3916</v>
      </c>
      <c r="G795" s="13" t="s">
        <v>27</v>
      </c>
    </row>
    <row r="796" spans="1:7" x14ac:dyDescent="0.3">
      <c r="A796" s="13" t="s">
        <v>414</v>
      </c>
      <c r="B796" s="13" t="s">
        <v>594</v>
      </c>
      <c r="C796" s="13" t="s">
        <v>38</v>
      </c>
      <c r="D796" s="13">
        <v>6</v>
      </c>
      <c r="E796" s="16">
        <v>953</v>
      </c>
      <c r="F796" s="13">
        <v>5718</v>
      </c>
      <c r="G796" s="13" t="s">
        <v>33</v>
      </c>
    </row>
    <row r="797" spans="1:7" x14ac:dyDescent="0.3">
      <c r="A797" s="13" t="s">
        <v>434</v>
      </c>
      <c r="B797" s="13" t="s">
        <v>851</v>
      </c>
      <c r="C797" s="13" t="s">
        <v>6</v>
      </c>
      <c r="D797" s="13">
        <v>1</v>
      </c>
      <c r="E797" s="16">
        <v>374</v>
      </c>
      <c r="F797" s="13">
        <v>374</v>
      </c>
      <c r="G797" s="13" t="s">
        <v>11</v>
      </c>
    </row>
    <row r="798" spans="1:7" x14ac:dyDescent="0.3">
      <c r="A798" s="13" t="s">
        <v>823</v>
      </c>
      <c r="B798" s="13" t="s">
        <v>1290</v>
      </c>
      <c r="C798" s="13" t="s">
        <v>65</v>
      </c>
      <c r="D798" s="13">
        <v>2</v>
      </c>
      <c r="E798" s="16">
        <v>95</v>
      </c>
      <c r="F798" s="13">
        <v>190</v>
      </c>
      <c r="G798" s="13" t="s">
        <v>11</v>
      </c>
    </row>
    <row r="799" spans="1:7" x14ac:dyDescent="0.3">
      <c r="A799" s="13" t="s">
        <v>823</v>
      </c>
      <c r="B799" s="13" t="s">
        <v>825</v>
      </c>
      <c r="C799" s="13" t="s">
        <v>30</v>
      </c>
      <c r="D799" s="13">
        <v>6</v>
      </c>
      <c r="E799" s="16">
        <v>708</v>
      </c>
      <c r="F799" s="13">
        <v>4248</v>
      </c>
      <c r="G799" s="13" t="s">
        <v>19</v>
      </c>
    </row>
    <row r="800" spans="1:7" x14ac:dyDescent="0.3">
      <c r="A800" s="13" t="s">
        <v>629</v>
      </c>
      <c r="B800" s="13" t="s">
        <v>630</v>
      </c>
      <c r="C800" s="13" t="s">
        <v>79</v>
      </c>
      <c r="D800" s="13">
        <v>3</v>
      </c>
      <c r="E800" s="16">
        <v>125</v>
      </c>
      <c r="F800" s="13">
        <v>375</v>
      </c>
      <c r="G800" s="13" t="s">
        <v>15</v>
      </c>
    </row>
    <row r="801" spans="1:7" x14ac:dyDescent="0.3">
      <c r="A801" s="13" t="s">
        <v>187</v>
      </c>
      <c r="B801" s="13" t="s">
        <v>188</v>
      </c>
      <c r="C801" s="13" t="s">
        <v>18</v>
      </c>
      <c r="D801" s="13">
        <v>1</v>
      </c>
      <c r="E801" s="16">
        <v>831</v>
      </c>
      <c r="F801" s="13">
        <v>831</v>
      </c>
      <c r="G801" s="13" t="s">
        <v>33</v>
      </c>
    </row>
    <row r="802" spans="1:7" x14ac:dyDescent="0.3">
      <c r="A802" s="13" t="s">
        <v>259</v>
      </c>
      <c r="B802" s="13" t="s">
        <v>518</v>
      </c>
      <c r="C802" s="13" t="s">
        <v>14</v>
      </c>
      <c r="D802" s="13">
        <v>1</v>
      </c>
      <c r="E802" s="16">
        <v>458</v>
      </c>
      <c r="F802" s="13">
        <v>458</v>
      </c>
      <c r="G802" s="13" t="s">
        <v>11</v>
      </c>
    </row>
    <row r="803" spans="1:7" x14ac:dyDescent="0.3">
      <c r="A803" s="13" t="s">
        <v>259</v>
      </c>
      <c r="B803" s="13" t="s">
        <v>926</v>
      </c>
      <c r="C803" s="13" t="s">
        <v>38</v>
      </c>
      <c r="D803" s="13">
        <v>6</v>
      </c>
      <c r="E803" s="16">
        <v>613</v>
      </c>
      <c r="F803" s="13">
        <v>3678</v>
      </c>
      <c r="G803" s="13" t="s">
        <v>15</v>
      </c>
    </row>
    <row r="804" spans="1:7" x14ac:dyDescent="0.3">
      <c r="A804" s="13" t="s">
        <v>880</v>
      </c>
      <c r="B804" s="13" t="s">
        <v>975</v>
      </c>
      <c r="C804" s="13" t="s">
        <v>10</v>
      </c>
      <c r="D804" s="13">
        <v>4</v>
      </c>
      <c r="E804" s="16">
        <v>943</v>
      </c>
      <c r="F804" s="13">
        <v>3772</v>
      </c>
      <c r="G804" s="13" t="s">
        <v>27</v>
      </c>
    </row>
    <row r="805" spans="1:7" x14ac:dyDescent="0.3">
      <c r="A805" s="13" t="s">
        <v>668</v>
      </c>
      <c r="B805" s="13" t="s">
        <v>669</v>
      </c>
      <c r="C805" s="13" t="s">
        <v>79</v>
      </c>
      <c r="D805" s="13">
        <v>3</v>
      </c>
      <c r="E805" s="16">
        <v>91</v>
      </c>
      <c r="F805" s="13">
        <v>273</v>
      </c>
      <c r="G805" s="13" t="s">
        <v>11</v>
      </c>
    </row>
    <row r="806" spans="1:7" x14ac:dyDescent="0.3">
      <c r="A806" s="13" t="s">
        <v>668</v>
      </c>
      <c r="B806" s="13" t="s">
        <v>958</v>
      </c>
      <c r="C806" s="13" t="s">
        <v>6</v>
      </c>
      <c r="D806" s="13">
        <v>2</v>
      </c>
      <c r="E806" s="16">
        <v>993</v>
      </c>
      <c r="F806" s="13">
        <v>1986</v>
      </c>
      <c r="G806" s="13" t="s">
        <v>15</v>
      </c>
    </row>
    <row r="807" spans="1:7" x14ac:dyDescent="0.3">
      <c r="A807" s="13" t="s">
        <v>1073</v>
      </c>
      <c r="B807" s="13" t="s">
        <v>1193</v>
      </c>
      <c r="C807" s="13" t="s">
        <v>18</v>
      </c>
      <c r="D807" s="13">
        <v>3</v>
      </c>
      <c r="E807" s="16">
        <v>115</v>
      </c>
      <c r="F807" s="13">
        <v>345</v>
      </c>
      <c r="G807" s="13" t="s">
        <v>15</v>
      </c>
    </row>
    <row r="808" spans="1:7" x14ac:dyDescent="0.3">
      <c r="A808" s="13" t="s">
        <v>670</v>
      </c>
      <c r="B808" s="13" t="s">
        <v>671</v>
      </c>
      <c r="C808" s="13" t="s">
        <v>14</v>
      </c>
      <c r="D808" s="13">
        <v>4</v>
      </c>
      <c r="E808" s="16">
        <v>96</v>
      </c>
      <c r="F808" s="13">
        <v>384</v>
      </c>
      <c r="G808" s="13" t="s">
        <v>11</v>
      </c>
    </row>
    <row r="809" spans="1:7" x14ac:dyDescent="0.3">
      <c r="A809" s="13" t="s">
        <v>670</v>
      </c>
      <c r="B809" s="13" t="s">
        <v>679</v>
      </c>
      <c r="C809" s="13" t="s">
        <v>79</v>
      </c>
      <c r="D809" s="13">
        <v>4</v>
      </c>
      <c r="E809" s="16">
        <v>581</v>
      </c>
      <c r="F809" s="13">
        <v>2324</v>
      </c>
      <c r="G809" s="13" t="s">
        <v>19</v>
      </c>
    </row>
    <row r="810" spans="1:7" x14ac:dyDescent="0.3">
      <c r="A810" s="13" t="s">
        <v>647</v>
      </c>
      <c r="B810" s="13" t="s">
        <v>649</v>
      </c>
      <c r="C810" s="13" t="s">
        <v>24</v>
      </c>
      <c r="D810" s="13">
        <v>5</v>
      </c>
      <c r="E810" s="16">
        <v>453</v>
      </c>
      <c r="F810" s="13">
        <v>2265</v>
      </c>
      <c r="G810" s="13" t="s">
        <v>11</v>
      </c>
    </row>
    <row r="811" spans="1:7" x14ac:dyDescent="0.3">
      <c r="A811" s="13" t="s">
        <v>647</v>
      </c>
      <c r="B811" s="13" t="s">
        <v>862</v>
      </c>
      <c r="C811" s="13" t="s">
        <v>38</v>
      </c>
      <c r="D811" s="13">
        <v>5</v>
      </c>
      <c r="E811" s="16">
        <v>606</v>
      </c>
      <c r="F811" s="13">
        <v>3030</v>
      </c>
      <c r="G811" s="13" t="s">
        <v>11</v>
      </c>
    </row>
    <row r="812" spans="1:7" x14ac:dyDescent="0.3">
      <c r="A812" s="13" t="s">
        <v>93</v>
      </c>
      <c r="B812" s="13" t="s">
        <v>94</v>
      </c>
      <c r="C812" s="13" t="s">
        <v>6</v>
      </c>
      <c r="D812" s="13">
        <v>5</v>
      </c>
      <c r="E812" s="16">
        <v>486</v>
      </c>
      <c r="F812" s="13">
        <v>2430</v>
      </c>
      <c r="G812" s="13" t="s">
        <v>11</v>
      </c>
    </row>
    <row r="813" spans="1:7" x14ac:dyDescent="0.3">
      <c r="A813" s="13" t="s">
        <v>93</v>
      </c>
      <c r="B813" s="13" t="s">
        <v>265</v>
      </c>
      <c r="C813" s="13" t="s">
        <v>38</v>
      </c>
      <c r="D813" s="13">
        <v>6</v>
      </c>
      <c r="E813" s="16">
        <v>915</v>
      </c>
      <c r="F813" s="13">
        <v>5490</v>
      </c>
      <c r="G813" s="13" t="s">
        <v>33</v>
      </c>
    </row>
    <row r="814" spans="1:7" x14ac:dyDescent="0.3">
      <c r="A814" s="13" t="s">
        <v>202</v>
      </c>
      <c r="B814" s="13" t="s">
        <v>410</v>
      </c>
      <c r="C814" s="13" t="s">
        <v>38</v>
      </c>
      <c r="D814" s="13">
        <v>5</v>
      </c>
      <c r="E814" s="16">
        <v>251</v>
      </c>
      <c r="F814" s="13">
        <v>1255</v>
      </c>
      <c r="G814" s="13" t="s">
        <v>11</v>
      </c>
    </row>
    <row r="815" spans="1:7" x14ac:dyDescent="0.3">
      <c r="A815" s="13" t="s">
        <v>202</v>
      </c>
      <c r="B815" s="13" t="s">
        <v>46</v>
      </c>
      <c r="C815" s="13" t="s">
        <v>38</v>
      </c>
      <c r="D815" s="13">
        <v>3</v>
      </c>
      <c r="E815" s="16">
        <v>896</v>
      </c>
      <c r="F815" s="13">
        <v>2688</v>
      </c>
      <c r="G815" s="13" t="s">
        <v>27</v>
      </c>
    </row>
    <row r="816" spans="1:7" x14ac:dyDescent="0.3">
      <c r="A816" s="13" t="s">
        <v>299</v>
      </c>
      <c r="B816" s="13" t="s">
        <v>1066</v>
      </c>
      <c r="C816" s="13" t="s">
        <v>14</v>
      </c>
      <c r="D816" s="13">
        <v>4</v>
      </c>
      <c r="E816" s="16">
        <v>759</v>
      </c>
      <c r="F816" s="13">
        <v>3036</v>
      </c>
      <c r="G816" s="13" t="s">
        <v>33</v>
      </c>
    </row>
    <row r="817" spans="1:7" x14ac:dyDescent="0.3">
      <c r="A817" s="13" t="s">
        <v>168</v>
      </c>
      <c r="B817" s="13" t="s">
        <v>170</v>
      </c>
      <c r="C817" s="13" t="s">
        <v>30</v>
      </c>
      <c r="D817" s="13">
        <v>4</v>
      </c>
      <c r="E817" s="16">
        <v>442</v>
      </c>
      <c r="F817" s="13">
        <v>1768</v>
      </c>
      <c r="G817" s="13" t="s">
        <v>27</v>
      </c>
    </row>
    <row r="818" spans="1:7" x14ac:dyDescent="0.3">
      <c r="A818" s="13" t="s">
        <v>1275</v>
      </c>
      <c r="B818" s="13" t="s">
        <v>1276</v>
      </c>
      <c r="C818" s="13" t="s">
        <v>14</v>
      </c>
      <c r="D818" s="13">
        <v>5</v>
      </c>
      <c r="E818" s="16">
        <v>296</v>
      </c>
      <c r="F818" s="13">
        <v>1480</v>
      </c>
      <c r="G818" s="13" t="s">
        <v>15</v>
      </c>
    </row>
    <row r="819" spans="1:7" x14ac:dyDescent="0.3">
      <c r="A819" s="13" t="s">
        <v>75</v>
      </c>
      <c r="B819" s="13" t="s">
        <v>76</v>
      </c>
      <c r="C819" s="13" t="s">
        <v>38</v>
      </c>
      <c r="D819" s="13">
        <v>6</v>
      </c>
      <c r="E819" s="16">
        <v>155</v>
      </c>
      <c r="F819" s="13">
        <v>930</v>
      </c>
      <c r="G819" s="13" t="s">
        <v>15</v>
      </c>
    </row>
    <row r="820" spans="1:7" x14ac:dyDescent="0.3">
      <c r="A820" s="13" t="s">
        <v>416</v>
      </c>
      <c r="B820" s="13" t="s">
        <v>417</v>
      </c>
      <c r="C820" s="13" t="s">
        <v>18</v>
      </c>
      <c r="D820" s="13">
        <v>6</v>
      </c>
      <c r="E820" s="16">
        <v>690</v>
      </c>
      <c r="F820" s="13">
        <v>4140</v>
      </c>
      <c r="G820" s="13" t="s">
        <v>33</v>
      </c>
    </row>
    <row r="821" spans="1:7" x14ac:dyDescent="0.3">
      <c r="A821" s="13" t="s">
        <v>262</v>
      </c>
      <c r="B821" s="13" t="s">
        <v>913</v>
      </c>
      <c r="C821" s="13" t="s">
        <v>38</v>
      </c>
      <c r="D821" s="13">
        <v>3</v>
      </c>
      <c r="E821" s="16">
        <v>103</v>
      </c>
      <c r="F821" s="13">
        <v>309</v>
      </c>
      <c r="G821" s="13" t="s">
        <v>19</v>
      </c>
    </row>
    <row r="822" spans="1:7" x14ac:dyDescent="0.3">
      <c r="A822" s="13" t="s">
        <v>262</v>
      </c>
      <c r="B822" s="13" t="s">
        <v>916</v>
      </c>
      <c r="C822" s="13" t="s">
        <v>10</v>
      </c>
      <c r="D822" s="13">
        <v>5</v>
      </c>
      <c r="E822" s="16">
        <v>388</v>
      </c>
      <c r="F822" s="13">
        <v>1940</v>
      </c>
      <c r="G822" s="13" t="s">
        <v>11</v>
      </c>
    </row>
    <row r="823" spans="1:7" x14ac:dyDescent="0.3">
      <c r="A823" s="13" t="s">
        <v>262</v>
      </c>
      <c r="B823" s="13" t="s">
        <v>1292</v>
      </c>
      <c r="C823" s="13" t="s">
        <v>10</v>
      </c>
      <c r="D823" s="13">
        <v>6</v>
      </c>
      <c r="E823" s="16">
        <v>499</v>
      </c>
      <c r="F823" s="13">
        <v>2994</v>
      </c>
      <c r="G823" s="13" t="s">
        <v>7</v>
      </c>
    </row>
    <row r="824" spans="1:7" x14ac:dyDescent="0.3">
      <c r="A824" s="13" t="s">
        <v>39</v>
      </c>
      <c r="B824" s="13" t="s">
        <v>40</v>
      </c>
      <c r="C824" s="13" t="s">
        <v>10</v>
      </c>
      <c r="D824" s="13">
        <v>3</v>
      </c>
      <c r="E824" s="16">
        <v>559</v>
      </c>
      <c r="F824" s="13">
        <v>1677</v>
      </c>
      <c r="G824" s="13" t="s">
        <v>33</v>
      </c>
    </row>
    <row r="825" spans="1:7" x14ac:dyDescent="0.3">
      <c r="A825" s="13" t="s">
        <v>1201</v>
      </c>
      <c r="B825" s="13" t="s">
        <v>1202</v>
      </c>
      <c r="C825" s="13" t="s">
        <v>68</v>
      </c>
      <c r="D825" s="13">
        <v>3</v>
      </c>
      <c r="E825" s="16">
        <v>343</v>
      </c>
      <c r="F825" s="13">
        <v>1029</v>
      </c>
      <c r="G825" s="13" t="s">
        <v>27</v>
      </c>
    </row>
    <row r="826" spans="1:7" x14ac:dyDescent="0.3">
      <c r="A826" s="13" t="s">
        <v>266</v>
      </c>
      <c r="B826" s="13" t="s">
        <v>527</v>
      </c>
      <c r="C826" s="13" t="s">
        <v>65</v>
      </c>
      <c r="D826" s="13">
        <v>5</v>
      </c>
      <c r="E826" s="16">
        <v>297</v>
      </c>
      <c r="F826" s="13">
        <v>1485</v>
      </c>
      <c r="G826" s="13" t="s">
        <v>15</v>
      </c>
    </row>
    <row r="827" spans="1:7" x14ac:dyDescent="0.3">
      <c r="A827" s="13" t="s">
        <v>266</v>
      </c>
      <c r="B827" s="13" t="s">
        <v>775</v>
      </c>
      <c r="C827" s="13" t="s">
        <v>30</v>
      </c>
      <c r="D827" s="13">
        <v>6</v>
      </c>
      <c r="E827" s="16">
        <v>478</v>
      </c>
      <c r="F827" s="13">
        <v>2868</v>
      </c>
      <c r="G827" s="13" t="s">
        <v>11</v>
      </c>
    </row>
    <row r="828" spans="1:7" x14ac:dyDescent="0.3">
      <c r="A828" s="13" t="s">
        <v>53</v>
      </c>
      <c r="B828" s="13" t="s">
        <v>413</v>
      </c>
      <c r="C828" s="13" t="s">
        <v>18</v>
      </c>
      <c r="D828" s="13">
        <v>3</v>
      </c>
      <c r="E828" s="16">
        <v>331</v>
      </c>
      <c r="F828" s="13">
        <v>993</v>
      </c>
      <c r="G828" s="13" t="s">
        <v>11</v>
      </c>
    </row>
    <row r="829" spans="1:7" x14ac:dyDescent="0.3">
      <c r="A829" s="13" t="s">
        <v>53</v>
      </c>
      <c r="B829" s="13" t="s">
        <v>54</v>
      </c>
      <c r="C829" s="13" t="s">
        <v>30</v>
      </c>
      <c r="D829" s="13">
        <v>6</v>
      </c>
      <c r="E829" s="16">
        <v>794</v>
      </c>
      <c r="F829" s="13">
        <v>4764</v>
      </c>
      <c r="G829" s="13" t="s">
        <v>27</v>
      </c>
    </row>
    <row r="830" spans="1:7" x14ac:dyDescent="0.3">
      <c r="A830" s="13" t="s">
        <v>477</v>
      </c>
      <c r="B830" s="13" t="s">
        <v>478</v>
      </c>
      <c r="C830" s="13" t="s">
        <v>79</v>
      </c>
      <c r="D830" s="13">
        <v>4</v>
      </c>
      <c r="E830" s="16">
        <v>346</v>
      </c>
      <c r="F830" s="13">
        <v>1384</v>
      </c>
      <c r="G830" s="13" t="s">
        <v>27</v>
      </c>
    </row>
    <row r="831" spans="1:7" x14ac:dyDescent="0.3">
      <c r="A831" s="13" t="s">
        <v>947</v>
      </c>
      <c r="B831" s="13" t="s">
        <v>948</v>
      </c>
      <c r="C831" s="13" t="s">
        <v>10</v>
      </c>
      <c r="D831" s="13">
        <v>4</v>
      </c>
      <c r="E831" s="16">
        <v>717</v>
      </c>
      <c r="F831" s="13">
        <v>2868</v>
      </c>
      <c r="G831" s="13" t="s">
        <v>33</v>
      </c>
    </row>
    <row r="832" spans="1:7" x14ac:dyDescent="0.3">
      <c r="A832" s="13" t="s">
        <v>608</v>
      </c>
      <c r="B832" s="13" t="s">
        <v>609</v>
      </c>
      <c r="C832" s="13" t="s">
        <v>30</v>
      </c>
      <c r="D832" s="13">
        <v>1</v>
      </c>
      <c r="E832" s="16">
        <v>187</v>
      </c>
      <c r="F832" s="13">
        <v>187</v>
      </c>
      <c r="G832" s="13" t="s">
        <v>19</v>
      </c>
    </row>
    <row r="833" spans="1:7" x14ac:dyDescent="0.3">
      <c r="A833" s="13" t="s">
        <v>847</v>
      </c>
      <c r="B833" s="13" t="s">
        <v>848</v>
      </c>
      <c r="C833" s="13" t="s">
        <v>14</v>
      </c>
      <c r="D833" s="13">
        <v>3</v>
      </c>
      <c r="E833" s="16">
        <v>771</v>
      </c>
      <c r="F833" s="13">
        <v>2313</v>
      </c>
      <c r="G833" s="13" t="s">
        <v>7</v>
      </c>
    </row>
    <row r="834" spans="1:7" x14ac:dyDescent="0.3">
      <c r="A834" s="13" t="s">
        <v>357</v>
      </c>
      <c r="B834" s="13" t="s">
        <v>1029</v>
      </c>
      <c r="C834" s="13" t="s">
        <v>14</v>
      </c>
      <c r="D834" s="13">
        <v>3</v>
      </c>
      <c r="E834" s="16">
        <v>675</v>
      </c>
      <c r="F834" s="13">
        <v>2025</v>
      </c>
      <c r="G834" s="13" t="s">
        <v>33</v>
      </c>
    </row>
    <row r="835" spans="1:7" x14ac:dyDescent="0.3">
      <c r="A835" s="13" t="s">
        <v>1023</v>
      </c>
      <c r="B835" s="13" t="s">
        <v>1221</v>
      </c>
      <c r="C835" s="13" t="s">
        <v>65</v>
      </c>
      <c r="D835" s="13">
        <v>1</v>
      </c>
      <c r="E835" s="16">
        <v>434</v>
      </c>
      <c r="F835" s="13">
        <v>434</v>
      </c>
      <c r="G835" s="13" t="s">
        <v>27</v>
      </c>
    </row>
    <row r="836" spans="1:7" x14ac:dyDescent="0.3">
      <c r="A836" s="13" t="s">
        <v>134</v>
      </c>
      <c r="B836" s="13" t="s">
        <v>1195</v>
      </c>
      <c r="C836" s="13" t="s">
        <v>14</v>
      </c>
      <c r="D836" s="13">
        <v>4</v>
      </c>
      <c r="E836" s="16">
        <v>111</v>
      </c>
      <c r="F836" s="13">
        <v>444</v>
      </c>
      <c r="G836" s="13" t="s">
        <v>19</v>
      </c>
    </row>
    <row r="837" spans="1:7" x14ac:dyDescent="0.3">
      <c r="A837" s="13" t="s">
        <v>134</v>
      </c>
      <c r="B837" s="13" t="s">
        <v>616</v>
      </c>
      <c r="C837" s="13" t="s">
        <v>10</v>
      </c>
      <c r="D837" s="13">
        <v>3</v>
      </c>
      <c r="E837" s="16">
        <v>462</v>
      </c>
      <c r="F837" s="13">
        <v>1386</v>
      </c>
      <c r="G837" s="13" t="s">
        <v>33</v>
      </c>
    </row>
    <row r="838" spans="1:7" x14ac:dyDescent="0.3">
      <c r="A838" s="13" t="s">
        <v>153</v>
      </c>
      <c r="B838" s="13" t="s">
        <v>839</v>
      </c>
      <c r="C838" s="13" t="s">
        <v>65</v>
      </c>
      <c r="D838" s="13">
        <v>1</v>
      </c>
      <c r="E838" s="16">
        <v>280</v>
      </c>
      <c r="F838" s="13">
        <v>280</v>
      </c>
      <c r="G838" s="13" t="s">
        <v>11</v>
      </c>
    </row>
    <row r="839" spans="1:7" x14ac:dyDescent="0.3">
      <c r="A839" s="13" t="s">
        <v>153</v>
      </c>
      <c r="B839" s="13" t="s">
        <v>154</v>
      </c>
      <c r="C839" s="13" t="s">
        <v>14</v>
      </c>
      <c r="D839" s="13">
        <v>1</v>
      </c>
      <c r="E839" s="16">
        <v>850</v>
      </c>
      <c r="F839" s="13">
        <v>850</v>
      </c>
      <c r="G839" s="13" t="s">
        <v>19</v>
      </c>
    </row>
    <row r="840" spans="1:7" x14ac:dyDescent="0.3">
      <c r="A840" s="13" t="s">
        <v>1145</v>
      </c>
      <c r="B840" s="13" t="s">
        <v>1146</v>
      </c>
      <c r="C840" s="13" t="s">
        <v>24</v>
      </c>
      <c r="D840" s="13">
        <v>4</v>
      </c>
      <c r="E840" s="16">
        <v>218</v>
      </c>
      <c r="F840" s="13">
        <v>872</v>
      </c>
      <c r="G840" s="13" t="s">
        <v>7</v>
      </c>
    </row>
    <row r="841" spans="1:7" x14ac:dyDescent="0.3">
      <c r="A841" s="13" t="s">
        <v>368</v>
      </c>
      <c r="B841" s="13" t="s">
        <v>369</v>
      </c>
      <c r="C841" s="13" t="s">
        <v>10</v>
      </c>
      <c r="D841" s="13">
        <v>5</v>
      </c>
      <c r="E841" s="16">
        <v>181</v>
      </c>
      <c r="F841" s="13">
        <v>905</v>
      </c>
      <c r="G841" s="13" t="s">
        <v>11</v>
      </c>
    </row>
    <row r="842" spans="1:7" x14ac:dyDescent="0.3">
      <c r="A842" s="13" t="s">
        <v>368</v>
      </c>
      <c r="B842" s="13" t="s">
        <v>1248</v>
      </c>
      <c r="C842" s="13" t="s">
        <v>30</v>
      </c>
      <c r="D842" s="13">
        <v>6</v>
      </c>
      <c r="E842" s="16">
        <v>607</v>
      </c>
      <c r="F842" s="13">
        <v>3642</v>
      </c>
      <c r="G842" s="13" t="s">
        <v>19</v>
      </c>
    </row>
    <row r="843" spans="1:7" x14ac:dyDescent="0.3">
      <c r="A843" s="13" t="s">
        <v>578</v>
      </c>
      <c r="B843" s="13" t="s">
        <v>1025</v>
      </c>
      <c r="C843" s="13" t="s">
        <v>79</v>
      </c>
      <c r="D843" s="13">
        <v>5</v>
      </c>
      <c r="E843" s="16">
        <v>740</v>
      </c>
      <c r="F843" s="13">
        <v>3700</v>
      </c>
      <c r="G843" s="13" t="s">
        <v>33</v>
      </c>
    </row>
    <row r="844" spans="1:7" x14ac:dyDescent="0.3">
      <c r="A844" s="13" t="s">
        <v>253</v>
      </c>
      <c r="B844" s="13" t="s">
        <v>691</v>
      </c>
      <c r="C844" s="13" t="s">
        <v>10</v>
      </c>
      <c r="D844" s="13">
        <v>6</v>
      </c>
      <c r="E844" s="16">
        <v>677</v>
      </c>
      <c r="F844" s="13">
        <v>4062</v>
      </c>
      <c r="G844" s="13" t="s">
        <v>19</v>
      </c>
    </row>
    <row r="845" spans="1:7" x14ac:dyDescent="0.3">
      <c r="A845" s="13" t="s">
        <v>973</v>
      </c>
      <c r="B845" s="13" t="s">
        <v>974</v>
      </c>
      <c r="C845" s="13" t="s">
        <v>68</v>
      </c>
      <c r="D845" s="13">
        <v>3</v>
      </c>
      <c r="E845" s="16">
        <v>816</v>
      </c>
      <c r="F845" s="13">
        <v>2448</v>
      </c>
      <c r="G845" s="13" t="s">
        <v>15</v>
      </c>
    </row>
    <row r="846" spans="1:7" x14ac:dyDescent="0.3">
      <c r="A846" s="13" t="s">
        <v>286</v>
      </c>
      <c r="B846" s="13" t="s">
        <v>287</v>
      </c>
      <c r="C846" s="13" t="s">
        <v>24</v>
      </c>
      <c r="D846" s="13">
        <v>3</v>
      </c>
      <c r="E846" s="16">
        <v>778</v>
      </c>
      <c r="F846" s="13">
        <v>2334</v>
      </c>
      <c r="G846" s="13" t="s">
        <v>7</v>
      </c>
    </row>
    <row r="847" spans="1:7" x14ac:dyDescent="0.3">
      <c r="A847" s="13" t="s">
        <v>1099</v>
      </c>
      <c r="B847" s="13" t="s">
        <v>1100</v>
      </c>
      <c r="C847" s="13" t="s">
        <v>65</v>
      </c>
      <c r="D847" s="13">
        <v>4</v>
      </c>
      <c r="E847" s="16">
        <v>206</v>
      </c>
      <c r="F847" s="13">
        <v>824</v>
      </c>
      <c r="G847" s="13" t="s">
        <v>27</v>
      </c>
    </row>
    <row r="848" spans="1:7" x14ac:dyDescent="0.3">
      <c r="A848" s="13" t="s">
        <v>877</v>
      </c>
      <c r="B848" s="13" t="s">
        <v>878</v>
      </c>
      <c r="C848" s="13" t="s">
        <v>10</v>
      </c>
      <c r="D848" s="13">
        <v>4</v>
      </c>
      <c r="E848" s="16">
        <v>996</v>
      </c>
      <c r="F848" s="13">
        <v>3984</v>
      </c>
      <c r="G848" s="13" t="s">
        <v>33</v>
      </c>
    </row>
    <row r="849" spans="1:7" x14ac:dyDescent="0.3">
      <c r="A849" s="13" t="s">
        <v>480</v>
      </c>
      <c r="B849" s="13" t="s">
        <v>481</v>
      </c>
      <c r="C849" s="13" t="s">
        <v>10</v>
      </c>
      <c r="D849" s="13">
        <v>4</v>
      </c>
      <c r="E849" s="16">
        <v>359</v>
      </c>
      <c r="F849" s="13">
        <v>1436</v>
      </c>
      <c r="G849" s="13" t="s">
        <v>33</v>
      </c>
    </row>
    <row r="850" spans="1:7" x14ac:dyDescent="0.3">
      <c r="A850" s="13" t="s">
        <v>136</v>
      </c>
      <c r="B850" s="13" t="s">
        <v>406</v>
      </c>
      <c r="C850" s="13" t="s">
        <v>10</v>
      </c>
      <c r="D850" s="13">
        <v>6</v>
      </c>
      <c r="E850" s="16">
        <v>916</v>
      </c>
      <c r="F850" s="13">
        <v>5496</v>
      </c>
      <c r="G850" s="13" t="s">
        <v>33</v>
      </c>
    </row>
    <row r="851" spans="1:7" x14ac:dyDescent="0.3">
      <c r="A851" s="13" t="s">
        <v>535</v>
      </c>
      <c r="B851" s="13" t="s">
        <v>536</v>
      </c>
      <c r="C851" s="13" t="s">
        <v>68</v>
      </c>
      <c r="D851" s="13">
        <v>2</v>
      </c>
      <c r="E851" s="16">
        <v>194</v>
      </c>
      <c r="F851" s="13">
        <v>388</v>
      </c>
      <c r="G851" s="13" t="s">
        <v>15</v>
      </c>
    </row>
    <row r="852" spans="1:7" x14ac:dyDescent="0.3">
      <c r="A852" s="13" t="s">
        <v>535</v>
      </c>
      <c r="B852" s="13" t="s">
        <v>917</v>
      </c>
      <c r="C852" s="13" t="s">
        <v>6</v>
      </c>
      <c r="D852" s="13">
        <v>6</v>
      </c>
      <c r="E852" s="16">
        <v>784</v>
      </c>
      <c r="F852" s="13">
        <v>4704</v>
      </c>
      <c r="G852" s="13" t="s">
        <v>11</v>
      </c>
    </row>
    <row r="853" spans="1:7" x14ac:dyDescent="0.3">
      <c r="A853" s="13" t="s">
        <v>545</v>
      </c>
      <c r="B853" s="13" t="s">
        <v>546</v>
      </c>
      <c r="C853" s="13" t="s">
        <v>79</v>
      </c>
      <c r="D853" s="13">
        <v>2</v>
      </c>
      <c r="E853" s="16">
        <v>304</v>
      </c>
      <c r="F853" s="13">
        <v>608</v>
      </c>
      <c r="G853" s="13" t="s">
        <v>27</v>
      </c>
    </row>
    <row r="854" spans="1:7" x14ac:dyDescent="0.3">
      <c r="A854" s="13" t="s">
        <v>749</v>
      </c>
      <c r="B854" s="13" t="s">
        <v>778</v>
      </c>
      <c r="C854" s="13" t="s">
        <v>79</v>
      </c>
      <c r="D854" s="13">
        <v>2</v>
      </c>
      <c r="E854" s="16">
        <v>472</v>
      </c>
      <c r="F854" s="13">
        <v>944</v>
      </c>
      <c r="G854" s="13" t="s">
        <v>7</v>
      </c>
    </row>
    <row r="855" spans="1:7" x14ac:dyDescent="0.3">
      <c r="A855" s="13" t="s">
        <v>749</v>
      </c>
      <c r="B855" s="13" t="s">
        <v>1139</v>
      </c>
      <c r="C855" s="13" t="s">
        <v>6</v>
      </c>
      <c r="D855" s="13">
        <v>6</v>
      </c>
      <c r="E855" s="16">
        <v>974</v>
      </c>
      <c r="F855" s="13">
        <v>5844</v>
      </c>
      <c r="G855" s="13" t="s">
        <v>19</v>
      </c>
    </row>
    <row r="856" spans="1:7" x14ac:dyDescent="0.3">
      <c r="A856" s="13" t="s">
        <v>41</v>
      </c>
      <c r="B856" s="13" t="s">
        <v>783</v>
      </c>
      <c r="C856" s="13" t="s">
        <v>14</v>
      </c>
      <c r="D856" s="13">
        <v>3</v>
      </c>
      <c r="E856" s="16">
        <v>563</v>
      </c>
      <c r="F856" s="13">
        <v>1689</v>
      </c>
      <c r="G856" s="13" t="s">
        <v>27</v>
      </c>
    </row>
    <row r="857" spans="1:7" x14ac:dyDescent="0.3">
      <c r="A857" s="13" t="s">
        <v>710</v>
      </c>
      <c r="B857" s="13" t="s">
        <v>1002</v>
      </c>
      <c r="C857" s="13" t="s">
        <v>38</v>
      </c>
      <c r="D857" s="13">
        <v>5</v>
      </c>
      <c r="E857" s="16">
        <v>329</v>
      </c>
      <c r="F857" s="13">
        <v>1645</v>
      </c>
      <c r="G857" s="13" t="s">
        <v>19</v>
      </c>
    </row>
    <row r="858" spans="1:7" x14ac:dyDescent="0.3">
      <c r="A858" s="13" t="s">
        <v>8</v>
      </c>
      <c r="B858" s="13" t="s">
        <v>1240</v>
      </c>
      <c r="C858" s="13" t="s">
        <v>68</v>
      </c>
      <c r="D858" s="13">
        <v>4</v>
      </c>
      <c r="E858" s="16">
        <v>53</v>
      </c>
      <c r="F858" s="13">
        <v>212</v>
      </c>
      <c r="G858" s="13" t="s">
        <v>15</v>
      </c>
    </row>
    <row r="859" spans="1:7" x14ac:dyDescent="0.3">
      <c r="A859" s="13" t="s">
        <v>8</v>
      </c>
      <c r="B859" s="13" t="s">
        <v>9</v>
      </c>
      <c r="C859" s="13" t="s">
        <v>10</v>
      </c>
      <c r="D859" s="13">
        <v>6</v>
      </c>
      <c r="E859" s="16">
        <v>960</v>
      </c>
      <c r="F859" s="13">
        <v>5760</v>
      </c>
      <c r="G859" s="13" t="s">
        <v>11</v>
      </c>
    </row>
    <row r="860" spans="1:7" x14ac:dyDescent="0.3">
      <c r="A860" s="13" t="s">
        <v>765</v>
      </c>
      <c r="B860" s="13" t="s">
        <v>766</v>
      </c>
      <c r="C860" s="13" t="s">
        <v>65</v>
      </c>
      <c r="D860" s="13">
        <v>6</v>
      </c>
      <c r="E860" s="16">
        <v>82</v>
      </c>
      <c r="F860" s="13">
        <v>492</v>
      </c>
      <c r="G860" s="13" t="s">
        <v>7</v>
      </c>
    </row>
    <row r="861" spans="1:7" x14ac:dyDescent="0.3">
      <c r="A861" s="13" t="s">
        <v>503</v>
      </c>
      <c r="B861" s="13" t="s">
        <v>767</v>
      </c>
      <c r="C861" s="13" t="s">
        <v>65</v>
      </c>
      <c r="D861" s="13">
        <v>4</v>
      </c>
      <c r="E861" s="16">
        <v>636</v>
      </c>
      <c r="F861" s="13">
        <v>2544</v>
      </c>
      <c r="G861" s="13" t="s">
        <v>11</v>
      </c>
    </row>
    <row r="862" spans="1:7" x14ac:dyDescent="0.3">
      <c r="A862" s="13" t="s">
        <v>694</v>
      </c>
      <c r="B862" s="13" t="s">
        <v>695</v>
      </c>
      <c r="C862" s="13" t="s">
        <v>24</v>
      </c>
      <c r="D862" s="13">
        <v>5</v>
      </c>
      <c r="E862" s="16">
        <v>452</v>
      </c>
      <c r="F862" s="13">
        <v>2260</v>
      </c>
      <c r="G862" s="13" t="s">
        <v>15</v>
      </c>
    </row>
    <row r="863" spans="1:7" x14ac:dyDescent="0.3">
      <c r="A863" s="13" t="s">
        <v>728</v>
      </c>
      <c r="B863" s="13" t="s">
        <v>760</v>
      </c>
      <c r="C863" s="13" t="s">
        <v>68</v>
      </c>
      <c r="D863" s="13">
        <v>1</v>
      </c>
      <c r="E863" s="16">
        <v>201</v>
      </c>
      <c r="F863" s="13">
        <v>201</v>
      </c>
      <c r="G863" s="13" t="s">
        <v>33</v>
      </c>
    </row>
    <row r="864" spans="1:7" x14ac:dyDescent="0.3">
      <c r="A864" s="13" t="s">
        <v>728</v>
      </c>
      <c r="B864" s="13" t="s">
        <v>735</v>
      </c>
      <c r="C864" s="13" t="s">
        <v>14</v>
      </c>
      <c r="D864" s="13">
        <v>2</v>
      </c>
      <c r="E864" s="16">
        <v>535</v>
      </c>
      <c r="F864" s="13">
        <v>1070</v>
      </c>
      <c r="G864" s="13" t="s">
        <v>15</v>
      </c>
    </row>
    <row r="865" spans="1:7" x14ac:dyDescent="0.3">
      <c r="A865" s="13" t="s">
        <v>150</v>
      </c>
      <c r="B865" s="13" t="s">
        <v>476</v>
      </c>
      <c r="C865" s="13" t="s">
        <v>10</v>
      </c>
      <c r="D865" s="13">
        <v>1</v>
      </c>
      <c r="E865" s="16">
        <v>608</v>
      </c>
      <c r="F865" s="13">
        <v>608</v>
      </c>
      <c r="G865" s="13" t="s">
        <v>27</v>
      </c>
    </row>
    <row r="866" spans="1:7" x14ac:dyDescent="0.3">
      <c r="A866" s="13" t="s">
        <v>150</v>
      </c>
      <c r="B866" s="13" t="s">
        <v>840</v>
      </c>
      <c r="C866" s="13" t="s">
        <v>14</v>
      </c>
      <c r="D866" s="13">
        <v>2</v>
      </c>
      <c r="E866" s="16">
        <v>354</v>
      </c>
      <c r="F866" s="13">
        <v>708</v>
      </c>
      <c r="G866" s="13" t="s">
        <v>27</v>
      </c>
    </row>
    <row r="867" spans="1:7" x14ac:dyDescent="0.3">
      <c r="A867" s="13" t="s">
        <v>150</v>
      </c>
      <c r="B867" s="13" t="s">
        <v>151</v>
      </c>
      <c r="C867" s="13" t="s">
        <v>79</v>
      </c>
      <c r="D867" s="13">
        <v>4</v>
      </c>
      <c r="E867" s="16">
        <v>672</v>
      </c>
      <c r="F867" s="13">
        <v>2688</v>
      </c>
      <c r="G867" s="13" t="s">
        <v>27</v>
      </c>
    </row>
    <row r="868" spans="1:7" x14ac:dyDescent="0.3">
      <c r="A868" s="13" t="s">
        <v>335</v>
      </c>
      <c r="B868" s="13" t="s">
        <v>1044</v>
      </c>
      <c r="C868" s="13" t="s">
        <v>79</v>
      </c>
      <c r="D868" s="13">
        <v>5</v>
      </c>
      <c r="E868" s="16">
        <v>538</v>
      </c>
      <c r="F868" s="13">
        <v>2690</v>
      </c>
      <c r="G868" s="13" t="s">
        <v>19</v>
      </c>
    </row>
    <row r="869" spans="1:7" x14ac:dyDescent="0.3">
      <c r="A869" s="13" t="s">
        <v>175</v>
      </c>
      <c r="B869" s="13" t="s">
        <v>295</v>
      </c>
      <c r="C869" s="13" t="s">
        <v>10</v>
      </c>
      <c r="D869" s="13">
        <v>3</v>
      </c>
      <c r="E869" s="16">
        <v>862</v>
      </c>
      <c r="F869" s="13">
        <v>2586</v>
      </c>
      <c r="G869" s="13" t="s">
        <v>7</v>
      </c>
    </row>
    <row r="870" spans="1:7" x14ac:dyDescent="0.3">
      <c r="A870" s="13" t="s">
        <v>198</v>
      </c>
      <c r="B870" s="13" t="s">
        <v>1313</v>
      </c>
      <c r="C870" s="13" t="s">
        <v>24</v>
      </c>
      <c r="D870" s="13">
        <v>1</v>
      </c>
      <c r="E870" s="16">
        <v>292</v>
      </c>
      <c r="F870" s="13">
        <v>292</v>
      </c>
      <c r="G870" s="13" t="s">
        <v>27</v>
      </c>
    </row>
    <row r="871" spans="1:7" x14ac:dyDescent="0.3">
      <c r="A871" s="13" t="s">
        <v>198</v>
      </c>
      <c r="B871" s="13" t="s">
        <v>1233</v>
      </c>
      <c r="C871" s="13" t="s">
        <v>79</v>
      </c>
      <c r="D871" s="13">
        <v>3</v>
      </c>
      <c r="E871" s="16">
        <v>600</v>
      </c>
      <c r="F871" s="13">
        <v>1800</v>
      </c>
      <c r="G871" s="13" t="s">
        <v>15</v>
      </c>
    </row>
    <row r="872" spans="1:7" x14ac:dyDescent="0.3">
      <c r="A872" s="13" t="s">
        <v>198</v>
      </c>
      <c r="B872" s="13" t="s">
        <v>475</v>
      </c>
      <c r="C872" s="13" t="s">
        <v>30</v>
      </c>
      <c r="D872" s="13">
        <v>6</v>
      </c>
      <c r="E872" s="16">
        <v>692</v>
      </c>
      <c r="F872" s="13">
        <v>4152</v>
      </c>
      <c r="G872" s="13" t="s">
        <v>27</v>
      </c>
    </row>
    <row r="873" spans="1:7" x14ac:dyDescent="0.3">
      <c r="A873" s="13" t="s">
        <v>95</v>
      </c>
      <c r="B873" s="13" t="s">
        <v>261</v>
      </c>
      <c r="C873" s="13" t="s">
        <v>79</v>
      </c>
      <c r="D873" s="13">
        <v>3</v>
      </c>
      <c r="E873" s="16">
        <v>139</v>
      </c>
      <c r="F873" s="13">
        <v>417</v>
      </c>
      <c r="G873" s="13" t="s">
        <v>33</v>
      </c>
    </row>
    <row r="874" spans="1:7" x14ac:dyDescent="0.3">
      <c r="A874" s="13" t="s">
        <v>95</v>
      </c>
      <c r="B874" s="13" t="s">
        <v>97</v>
      </c>
      <c r="C874" s="13" t="s">
        <v>79</v>
      </c>
      <c r="D874" s="13">
        <v>3</v>
      </c>
      <c r="E874" s="16">
        <v>756</v>
      </c>
      <c r="F874" s="13">
        <v>2268</v>
      </c>
      <c r="G874" s="13" t="s">
        <v>7</v>
      </c>
    </row>
    <row r="875" spans="1:7" x14ac:dyDescent="0.3">
      <c r="A875" s="13" t="s">
        <v>345</v>
      </c>
      <c r="B875" s="13" t="s">
        <v>346</v>
      </c>
      <c r="C875" s="13" t="s">
        <v>79</v>
      </c>
      <c r="D875" s="13">
        <v>1</v>
      </c>
      <c r="E875" s="16">
        <v>470</v>
      </c>
      <c r="F875" s="13">
        <v>470</v>
      </c>
      <c r="G875" s="13" t="s">
        <v>11</v>
      </c>
    </row>
    <row r="876" spans="1:7" x14ac:dyDescent="0.3">
      <c r="A876" s="13" t="s">
        <v>587</v>
      </c>
      <c r="B876" s="13" t="s">
        <v>588</v>
      </c>
      <c r="C876" s="13" t="s">
        <v>30</v>
      </c>
      <c r="D876" s="13">
        <v>5</v>
      </c>
      <c r="E876" s="16">
        <v>99</v>
      </c>
      <c r="F876" s="13">
        <v>495</v>
      </c>
      <c r="G876" s="13" t="s">
        <v>15</v>
      </c>
    </row>
    <row r="877" spans="1:7" x14ac:dyDescent="0.3">
      <c r="A877" s="13" t="s">
        <v>400</v>
      </c>
      <c r="B877" s="13" t="s">
        <v>401</v>
      </c>
      <c r="C877" s="13" t="s">
        <v>38</v>
      </c>
      <c r="D877" s="13">
        <v>4</v>
      </c>
      <c r="E877" s="16">
        <v>581</v>
      </c>
      <c r="F877" s="13">
        <v>2324</v>
      </c>
      <c r="G877" s="13" t="s">
        <v>19</v>
      </c>
    </row>
    <row r="878" spans="1:7" x14ac:dyDescent="0.3">
      <c r="A878" s="13" t="s">
        <v>397</v>
      </c>
      <c r="B878" s="13" t="s">
        <v>482</v>
      </c>
      <c r="C878" s="13" t="s">
        <v>68</v>
      </c>
      <c r="D878" s="13">
        <v>3</v>
      </c>
      <c r="E878" s="16">
        <v>544</v>
      </c>
      <c r="F878" s="13">
        <v>1632</v>
      </c>
      <c r="G878" s="13" t="s">
        <v>33</v>
      </c>
    </row>
    <row r="879" spans="1:7" x14ac:dyDescent="0.3">
      <c r="A879" s="13" t="s">
        <v>554</v>
      </c>
      <c r="B879" s="13" t="s">
        <v>1188</v>
      </c>
      <c r="C879" s="13" t="s">
        <v>68</v>
      </c>
      <c r="D879" s="13">
        <v>4</v>
      </c>
      <c r="E879" s="16">
        <v>96</v>
      </c>
      <c r="F879" s="13">
        <v>384</v>
      </c>
      <c r="G879" s="13" t="s">
        <v>11</v>
      </c>
    </row>
    <row r="880" spans="1:7" x14ac:dyDescent="0.3">
      <c r="A880" s="13" t="s">
        <v>554</v>
      </c>
      <c r="B880" s="13" t="s">
        <v>555</v>
      </c>
      <c r="C880" s="13" t="s">
        <v>24</v>
      </c>
      <c r="D880" s="13">
        <v>3</v>
      </c>
      <c r="E880" s="16">
        <v>641</v>
      </c>
      <c r="F880" s="13">
        <v>1923</v>
      </c>
      <c r="G880" s="13" t="s">
        <v>27</v>
      </c>
    </row>
    <row r="881" spans="1:7" x14ac:dyDescent="0.3">
      <c r="A881" s="13" t="s">
        <v>554</v>
      </c>
      <c r="B881" s="13" t="s">
        <v>1111</v>
      </c>
      <c r="C881" s="13" t="s">
        <v>79</v>
      </c>
      <c r="D881" s="13">
        <v>6</v>
      </c>
      <c r="E881" s="16">
        <v>825</v>
      </c>
      <c r="F881" s="13">
        <v>4950</v>
      </c>
      <c r="G881" s="13" t="s">
        <v>19</v>
      </c>
    </row>
    <row r="882" spans="1:7" x14ac:dyDescent="0.3">
      <c r="A882" s="13" t="s">
        <v>495</v>
      </c>
      <c r="B882" s="13" t="s">
        <v>1236</v>
      </c>
      <c r="C882" s="13" t="s">
        <v>10</v>
      </c>
      <c r="D882" s="13">
        <v>2</v>
      </c>
      <c r="E882" s="16">
        <v>180</v>
      </c>
      <c r="F882" s="13">
        <v>360</v>
      </c>
      <c r="G882" s="13" t="s">
        <v>27</v>
      </c>
    </row>
    <row r="883" spans="1:7" x14ac:dyDescent="0.3">
      <c r="A883" s="13" t="s">
        <v>495</v>
      </c>
      <c r="B883" s="13" t="s">
        <v>497</v>
      </c>
      <c r="C883" s="13" t="s">
        <v>18</v>
      </c>
      <c r="D883" s="13">
        <v>5</v>
      </c>
      <c r="E883" s="16">
        <v>500</v>
      </c>
      <c r="F883" s="13">
        <v>2500</v>
      </c>
      <c r="G883" s="13" t="s">
        <v>11</v>
      </c>
    </row>
    <row r="884" spans="1:7" x14ac:dyDescent="0.3">
      <c r="A884" s="13" t="s">
        <v>538</v>
      </c>
      <c r="B884" s="13" t="s">
        <v>1328</v>
      </c>
      <c r="C884" s="13" t="s">
        <v>18</v>
      </c>
      <c r="D884" s="13">
        <v>1</v>
      </c>
      <c r="E884" s="16">
        <v>950</v>
      </c>
      <c r="F884" s="13">
        <v>950</v>
      </c>
      <c r="G884" s="13" t="s">
        <v>11</v>
      </c>
    </row>
    <row r="885" spans="1:7" x14ac:dyDescent="0.3">
      <c r="A885" s="13" t="s">
        <v>89</v>
      </c>
      <c r="B885" s="13" t="s">
        <v>90</v>
      </c>
      <c r="C885" s="13" t="s">
        <v>6</v>
      </c>
      <c r="D885" s="13">
        <v>1</v>
      </c>
      <c r="E885" s="16">
        <v>667</v>
      </c>
      <c r="F885" s="13">
        <v>667</v>
      </c>
      <c r="G885" s="13" t="s">
        <v>27</v>
      </c>
    </row>
    <row r="886" spans="1:7" x14ac:dyDescent="0.3">
      <c r="A886" s="13" t="s">
        <v>89</v>
      </c>
      <c r="B886" s="13" t="s">
        <v>385</v>
      </c>
      <c r="C886" s="13" t="s">
        <v>30</v>
      </c>
      <c r="D886" s="13">
        <v>2</v>
      </c>
      <c r="E886" s="16">
        <v>939</v>
      </c>
      <c r="F886" s="13">
        <v>1878</v>
      </c>
      <c r="G886" s="13" t="s">
        <v>33</v>
      </c>
    </row>
    <row r="887" spans="1:7" x14ac:dyDescent="0.3">
      <c r="A887" s="13" t="s">
        <v>714</v>
      </c>
      <c r="B887" s="13" t="s">
        <v>942</v>
      </c>
      <c r="C887" s="13" t="s">
        <v>10</v>
      </c>
      <c r="D887" s="13">
        <v>6</v>
      </c>
      <c r="E887" s="16">
        <v>711</v>
      </c>
      <c r="F887" s="13">
        <v>4266</v>
      </c>
      <c r="G887" s="13" t="s">
        <v>11</v>
      </c>
    </row>
    <row r="888" spans="1:7" x14ac:dyDescent="0.3">
      <c r="A888" s="13" t="s">
        <v>71</v>
      </c>
      <c r="B888" s="13" t="s">
        <v>72</v>
      </c>
      <c r="C888" s="13" t="s">
        <v>10</v>
      </c>
      <c r="D888" s="13">
        <v>6</v>
      </c>
      <c r="E888" s="16">
        <v>350</v>
      </c>
      <c r="F888" s="13">
        <v>2100</v>
      </c>
      <c r="G888" s="13" t="s">
        <v>7</v>
      </c>
    </row>
    <row r="889" spans="1:7" x14ac:dyDescent="0.3">
      <c r="A889" s="13" t="s">
        <v>66</v>
      </c>
      <c r="B889" s="13" t="s">
        <v>67</v>
      </c>
      <c r="C889" s="13" t="s">
        <v>68</v>
      </c>
      <c r="D889" s="13">
        <v>1</v>
      </c>
      <c r="E889" s="16">
        <v>234</v>
      </c>
      <c r="F889" s="13">
        <v>234</v>
      </c>
      <c r="G889" s="13" t="s">
        <v>19</v>
      </c>
    </row>
    <row r="890" spans="1:7" x14ac:dyDescent="0.3">
      <c r="A890" s="13" t="s">
        <v>66</v>
      </c>
      <c r="B890" s="13" t="s">
        <v>432</v>
      </c>
      <c r="C890" s="13" t="s">
        <v>30</v>
      </c>
      <c r="D890" s="13">
        <v>6</v>
      </c>
      <c r="E890" s="16">
        <v>225</v>
      </c>
      <c r="F890" s="13">
        <v>1350</v>
      </c>
      <c r="G890" s="13" t="s">
        <v>33</v>
      </c>
    </row>
    <row r="891" spans="1:7" x14ac:dyDescent="0.3">
      <c r="A891" s="13" t="s">
        <v>66</v>
      </c>
      <c r="B891" s="13" t="s">
        <v>1283</v>
      </c>
      <c r="C891" s="13" t="s">
        <v>65</v>
      </c>
      <c r="D891" s="13">
        <v>3</v>
      </c>
      <c r="E891" s="16">
        <v>662</v>
      </c>
      <c r="F891" s="13">
        <v>1986</v>
      </c>
      <c r="G891" s="13" t="s">
        <v>7</v>
      </c>
    </row>
    <row r="892" spans="1:7" x14ac:dyDescent="0.3">
      <c r="A892" s="13" t="s">
        <v>66</v>
      </c>
      <c r="B892" s="13" t="s">
        <v>433</v>
      </c>
      <c r="C892" s="13" t="s">
        <v>6</v>
      </c>
      <c r="D892" s="13">
        <v>4</v>
      </c>
      <c r="E892" s="16">
        <v>724</v>
      </c>
      <c r="F892" s="13">
        <v>2896</v>
      </c>
      <c r="G892" s="13" t="s">
        <v>15</v>
      </c>
    </row>
    <row r="893" spans="1:7" x14ac:dyDescent="0.3">
      <c r="A893" s="13" t="s">
        <v>511</v>
      </c>
      <c r="B893" s="13" t="s">
        <v>512</v>
      </c>
      <c r="C893" s="13" t="s">
        <v>6</v>
      </c>
      <c r="D893" s="13">
        <v>1</v>
      </c>
      <c r="E893" s="16">
        <v>932</v>
      </c>
      <c r="F893" s="13">
        <v>932</v>
      </c>
      <c r="G893" s="13" t="s">
        <v>7</v>
      </c>
    </row>
    <row r="894" spans="1:7" x14ac:dyDescent="0.3">
      <c r="A894" s="13" t="s">
        <v>568</v>
      </c>
      <c r="B894" s="13" t="s">
        <v>693</v>
      </c>
      <c r="C894" s="13" t="s">
        <v>14</v>
      </c>
      <c r="D894" s="13">
        <v>2</v>
      </c>
      <c r="E894" s="16">
        <v>216</v>
      </c>
      <c r="F894" s="13">
        <v>432</v>
      </c>
      <c r="G894" s="13" t="s">
        <v>19</v>
      </c>
    </row>
    <row r="895" spans="1:7" x14ac:dyDescent="0.3">
      <c r="A895" s="13" t="s">
        <v>568</v>
      </c>
      <c r="B895" s="13" t="s">
        <v>922</v>
      </c>
      <c r="C895" s="13" t="s">
        <v>24</v>
      </c>
      <c r="D895" s="13">
        <v>2</v>
      </c>
      <c r="E895" s="16">
        <v>839</v>
      </c>
      <c r="F895" s="13">
        <v>1678</v>
      </c>
      <c r="G895" s="13" t="s">
        <v>27</v>
      </c>
    </row>
    <row r="896" spans="1:7" x14ac:dyDescent="0.3">
      <c r="A896" s="13" t="s">
        <v>568</v>
      </c>
      <c r="B896" s="13" t="s">
        <v>569</v>
      </c>
      <c r="C896" s="13" t="s">
        <v>24</v>
      </c>
      <c r="D896" s="13">
        <v>6</v>
      </c>
      <c r="E896" s="16">
        <v>560</v>
      </c>
      <c r="F896" s="13">
        <v>3360</v>
      </c>
      <c r="G896" s="13" t="s">
        <v>33</v>
      </c>
    </row>
    <row r="897" spans="1:7" x14ac:dyDescent="0.3">
      <c r="A897" s="13" t="s">
        <v>193</v>
      </c>
      <c r="B897" s="13" t="s">
        <v>1157</v>
      </c>
      <c r="C897" s="13" t="s">
        <v>68</v>
      </c>
      <c r="D897" s="13">
        <v>4</v>
      </c>
      <c r="E897" s="16">
        <v>143</v>
      </c>
      <c r="F897" s="13">
        <v>572</v>
      </c>
      <c r="G897" s="13" t="s">
        <v>33</v>
      </c>
    </row>
    <row r="898" spans="1:7" x14ac:dyDescent="0.3">
      <c r="A898" s="13" t="s">
        <v>193</v>
      </c>
      <c r="B898" s="13" t="s">
        <v>195</v>
      </c>
      <c r="C898" s="13" t="s">
        <v>65</v>
      </c>
      <c r="D898" s="13">
        <v>3</v>
      </c>
      <c r="E898" s="16">
        <v>592</v>
      </c>
      <c r="F898" s="13">
        <v>1776</v>
      </c>
      <c r="G898" s="13" t="s">
        <v>11</v>
      </c>
    </row>
    <row r="899" spans="1:7" x14ac:dyDescent="0.3">
      <c r="A899" s="13" t="s">
        <v>193</v>
      </c>
      <c r="B899" s="13" t="s">
        <v>702</v>
      </c>
      <c r="C899" s="13" t="s">
        <v>38</v>
      </c>
      <c r="D899" s="13">
        <v>6</v>
      </c>
      <c r="E899" s="16">
        <v>394</v>
      </c>
      <c r="F899" s="13">
        <v>2364</v>
      </c>
      <c r="G899" s="13" t="s">
        <v>7</v>
      </c>
    </row>
    <row r="900" spans="1:7" x14ac:dyDescent="0.3">
      <c r="A900" s="13" t="s">
        <v>1177</v>
      </c>
      <c r="B900" s="13" t="s">
        <v>1178</v>
      </c>
      <c r="C900" s="13" t="s">
        <v>6</v>
      </c>
      <c r="D900" s="13">
        <v>3</v>
      </c>
      <c r="E900" s="16">
        <v>790</v>
      </c>
      <c r="F900" s="13">
        <v>2370</v>
      </c>
      <c r="G900" s="13" t="s">
        <v>33</v>
      </c>
    </row>
    <row r="901" spans="1:7" x14ac:dyDescent="0.3">
      <c r="A901" s="13" t="s">
        <v>243</v>
      </c>
      <c r="B901" s="13" t="s">
        <v>1046</v>
      </c>
      <c r="C901" s="13" t="s">
        <v>68</v>
      </c>
      <c r="D901" s="13">
        <v>4</v>
      </c>
      <c r="E901" s="16">
        <v>304</v>
      </c>
      <c r="F901" s="13">
        <v>1216</v>
      </c>
      <c r="G901" s="13" t="s">
        <v>19</v>
      </c>
    </row>
    <row r="902" spans="1:7" x14ac:dyDescent="0.3">
      <c r="A902" s="13" t="s">
        <v>127</v>
      </c>
      <c r="B902" s="13" t="s">
        <v>582</v>
      </c>
      <c r="C902" s="13" t="s">
        <v>18</v>
      </c>
      <c r="D902" s="13">
        <v>5</v>
      </c>
      <c r="E902" s="16">
        <v>296</v>
      </c>
      <c r="F902" s="13">
        <v>1480</v>
      </c>
      <c r="G902" s="13" t="s">
        <v>19</v>
      </c>
    </row>
    <row r="903" spans="1:7" x14ac:dyDescent="0.3">
      <c r="A903" s="13" t="s">
        <v>390</v>
      </c>
      <c r="B903" s="13" t="s">
        <v>1280</v>
      </c>
      <c r="C903" s="13" t="s">
        <v>30</v>
      </c>
      <c r="D903" s="13">
        <v>1</v>
      </c>
      <c r="E903" s="16">
        <v>658</v>
      </c>
      <c r="F903" s="13">
        <v>658</v>
      </c>
      <c r="G903" s="13" t="s">
        <v>15</v>
      </c>
    </row>
    <row r="904" spans="1:7" x14ac:dyDescent="0.3">
      <c r="A904" s="13" t="s">
        <v>390</v>
      </c>
      <c r="B904" s="13" t="s">
        <v>1121</v>
      </c>
      <c r="C904" s="13" t="s">
        <v>30</v>
      </c>
      <c r="D904" s="13">
        <v>2</v>
      </c>
      <c r="E904" s="16">
        <v>822</v>
      </c>
      <c r="F904" s="13">
        <v>1644</v>
      </c>
      <c r="G904" s="13" t="s">
        <v>19</v>
      </c>
    </row>
    <row r="905" spans="1:7" x14ac:dyDescent="0.3">
      <c r="A905" s="13" t="s">
        <v>330</v>
      </c>
      <c r="B905" s="13" t="s">
        <v>1067</v>
      </c>
      <c r="C905" s="13" t="s">
        <v>18</v>
      </c>
      <c r="D905" s="13">
        <v>2</v>
      </c>
      <c r="E905" s="16">
        <v>291</v>
      </c>
      <c r="F905" s="13">
        <v>582</v>
      </c>
      <c r="G905" s="13" t="s">
        <v>19</v>
      </c>
    </row>
    <row r="906" spans="1:7" x14ac:dyDescent="0.3">
      <c r="A906" s="13" t="s">
        <v>330</v>
      </c>
      <c r="B906" s="13" t="s">
        <v>366</v>
      </c>
      <c r="C906" s="13" t="s">
        <v>68</v>
      </c>
      <c r="D906" s="13">
        <v>5</v>
      </c>
      <c r="E906" s="16">
        <v>579</v>
      </c>
      <c r="F906" s="13">
        <v>2895</v>
      </c>
      <c r="G906" s="13" t="s">
        <v>19</v>
      </c>
    </row>
    <row r="907" spans="1:7" x14ac:dyDescent="0.3">
      <c r="A907" s="13" t="s">
        <v>920</v>
      </c>
      <c r="B907" s="13" t="s">
        <v>1113</v>
      </c>
      <c r="C907" s="13" t="s">
        <v>14</v>
      </c>
      <c r="D907" s="13">
        <v>1</v>
      </c>
      <c r="E907" s="16">
        <v>871</v>
      </c>
      <c r="F907" s="13">
        <v>871</v>
      </c>
      <c r="G907" s="13" t="s">
        <v>33</v>
      </c>
    </row>
    <row r="908" spans="1:7" x14ac:dyDescent="0.3">
      <c r="A908" s="13" t="s">
        <v>920</v>
      </c>
      <c r="B908" s="13" t="s">
        <v>921</v>
      </c>
      <c r="C908" s="13" t="s">
        <v>65</v>
      </c>
      <c r="D908" s="13">
        <v>5</v>
      </c>
      <c r="E908" s="16">
        <v>747</v>
      </c>
      <c r="F908" s="13">
        <v>3735</v>
      </c>
      <c r="G908" s="13" t="s">
        <v>11</v>
      </c>
    </row>
    <row r="909" spans="1:7" x14ac:dyDescent="0.3">
      <c r="A909" s="13" t="s">
        <v>807</v>
      </c>
      <c r="B909" s="13" t="s">
        <v>432</v>
      </c>
      <c r="C909" s="13" t="s">
        <v>14</v>
      </c>
      <c r="D909" s="13">
        <v>2</v>
      </c>
      <c r="E909" s="16">
        <v>727</v>
      </c>
      <c r="F909" s="13">
        <v>1454</v>
      </c>
      <c r="G909" s="13" t="s">
        <v>33</v>
      </c>
    </row>
    <row r="910" spans="1:7" x14ac:dyDescent="0.3">
      <c r="A910" s="13" t="s">
        <v>807</v>
      </c>
      <c r="B910" s="13" t="s">
        <v>1224</v>
      </c>
      <c r="C910" s="13" t="s">
        <v>30</v>
      </c>
      <c r="D910" s="13">
        <v>5</v>
      </c>
      <c r="E910" s="16">
        <v>945</v>
      </c>
      <c r="F910" s="13">
        <v>4725</v>
      </c>
      <c r="G910" s="13" t="s">
        <v>7</v>
      </c>
    </row>
    <row r="911" spans="1:7" x14ac:dyDescent="0.3">
      <c r="A911" s="13" t="s">
        <v>834</v>
      </c>
      <c r="B911" s="13" t="s">
        <v>836</v>
      </c>
      <c r="C911" s="13" t="s">
        <v>65</v>
      </c>
      <c r="D911" s="13">
        <v>4</v>
      </c>
      <c r="E911" s="16">
        <v>335</v>
      </c>
      <c r="F911" s="13">
        <v>1340</v>
      </c>
      <c r="G911" s="13" t="s">
        <v>15</v>
      </c>
    </row>
    <row r="912" spans="1:7" x14ac:dyDescent="0.3">
      <c r="A912" s="13" t="s">
        <v>796</v>
      </c>
      <c r="B912" s="13" t="s">
        <v>1308</v>
      </c>
      <c r="C912" s="13" t="s">
        <v>38</v>
      </c>
      <c r="D912" s="13">
        <v>2</v>
      </c>
      <c r="E912" s="16">
        <v>662</v>
      </c>
      <c r="F912" s="13">
        <v>1324</v>
      </c>
      <c r="G912" s="13" t="s">
        <v>15</v>
      </c>
    </row>
    <row r="913" spans="1:7" x14ac:dyDescent="0.3">
      <c r="A913" s="13" t="s">
        <v>781</v>
      </c>
      <c r="B913" s="13" t="s">
        <v>1242</v>
      </c>
      <c r="C913" s="13" t="s">
        <v>14</v>
      </c>
      <c r="D913" s="13">
        <v>1</v>
      </c>
      <c r="E913" s="16">
        <v>73</v>
      </c>
      <c r="F913" s="13">
        <v>73</v>
      </c>
      <c r="G913" s="13" t="s">
        <v>7</v>
      </c>
    </row>
    <row r="914" spans="1:7" x14ac:dyDescent="0.3">
      <c r="A914" s="13" t="s">
        <v>241</v>
      </c>
      <c r="B914" s="13" t="s">
        <v>242</v>
      </c>
      <c r="C914" s="13" t="s">
        <v>38</v>
      </c>
      <c r="D914" s="13">
        <v>6</v>
      </c>
      <c r="E914" s="16">
        <v>552</v>
      </c>
      <c r="F914" s="13">
        <v>3312</v>
      </c>
      <c r="G914" s="13" t="s">
        <v>33</v>
      </c>
    </row>
    <row r="915" spans="1:7" x14ac:dyDescent="0.3">
      <c r="A915" s="13" t="s">
        <v>441</v>
      </c>
      <c r="B915" s="13" t="s">
        <v>442</v>
      </c>
      <c r="C915" s="13" t="s">
        <v>18</v>
      </c>
      <c r="D915" s="13">
        <v>1</v>
      </c>
      <c r="E915" s="16">
        <v>395</v>
      </c>
      <c r="F915" s="13">
        <v>395</v>
      </c>
      <c r="G915" s="13" t="s">
        <v>11</v>
      </c>
    </row>
    <row r="916" spans="1:7" x14ac:dyDescent="0.3">
      <c r="A916" s="13" t="s">
        <v>441</v>
      </c>
      <c r="B916" s="13" t="s">
        <v>1296</v>
      </c>
      <c r="C916" s="13" t="s">
        <v>30</v>
      </c>
      <c r="D916" s="13">
        <v>6</v>
      </c>
      <c r="E916" s="16">
        <v>822</v>
      </c>
      <c r="F916" s="13">
        <v>4932</v>
      </c>
      <c r="G916" s="13" t="s">
        <v>19</v>
      </c>
    </row>
    <row r="917" spans="1:7" x14ac:dyDescent="0.3">
      <c r="A917" s="13" t="s">
        <v>776</v>
      </c>
      <c r="B917" s="13" t="s">
        <v>777</v>
      </c>
      <c r="C917" s="13" t="s">
        <v>68</v>
      </c>
      <c r="D917" s="13">
        <v>5</v>
      </c>
      <c r="E917" s="16">
        <v>205</v>
      </c>
      <c r="F917" s="13">
        <v>1025</v>
      </c>
      <c r="G917" s="13" t="s">
        <v>33</v>
      </c>
    </row>
    <row r="918" spans="1:7" x14ac:dyDescent="0.3">
      <c r="A918" s="13" t="s">
        <v>699</v>
      </c>
      <c r="B918" s="13" t="s">
        <v>1090</v>
      </c>
      <c r="C918" s="13" t="s">
        <v>6</v>
      </c>
      <c r="D918" s="13">
        <v>5</v>
      </c>
      <c r="E918" s="16">
        <v>988</v>
      </c>
      <c r="F918" s="13">
        <v>4940</v>
      </c>
      <c r="G918" s="13" t="s">
        <v>15</v>
      </c>
    </row>
    <row r="919" spans="1:7" x14ac:dyDescent="0.3">
      <c r="A919" s="13" t="s">
        <v>894</v>
      </c>
      <c r="B919" s="13" t="s">
        <v>895</v>
      </c>
      <c r="C919" s="13" t="s">
        <v>14</v>
      </c>
      <c r="D919" s="13">
        <v>4</v>
      </c>
      <c r="E919" s="16">
        <v>161</v>
      </c>
      <c r="F919" s="13">
        <v>644</v>
      </c>
      <c r="G919" s="13" t="s">
        <v>33</v>
      </c>
    </row>
    <row r="920" spans="1:7" x14ac:dyDescent="0.3">
      <c r="A920" s="13" t="s">
        <v>523</v>
      </c>
      <c r="B920" s="13" t="s">
        <v>780</v>
      </c>
      <c r="C920" s="13" t="s">
        <v>18</v>
      </c>
      <c r="D920" s="13">
        <v>4</v>
      </c>
      <c r="E920" s="16">
        <v>258</v>
      </c>
      <c r="F920" s="13">
        <v>1032</v>
      </c>
      <c r="G920" s="13" t="s">
        <v>11</v>
      </c>
    </row>
    <row r="921" spans="1:7" x14ac:dyDescent="0.3">
      <c r="A921" s="13" t="s">
        <v>523</v>
      </c>
      <c r="B921" s="13" t="s">
        <v>1110</v>
      </c>
      <c r="C921" s="13" t="s">
        <v>18</v>
      </c>
      <c r="D921" s="13">
        <v>5</v>
      </c>
      <c r="E921" s="16">
        <v>532</v>
      </c>
      <c r="F921" s="13">
        <v>2660</v>
      </c>
      <c r="G921" s="13" t="s">
        <v>7</v>
      </c>
    </row>
    <row r="922" spans="1:7" x14ac:dyDescent="0.3">
      <c r="A922" s="13" t="s">
        <v>523</v>
      </c>
      <c r="B922" s="13" t="s">
        <v>543</v>
      </c>
      <c r="C922" s="13" t="s">
        <v>14</v>
      </c>
      <c r="D922" s="13">
        <v>5</v>
      </c>
      <c r="E922" s="16">
        <v>680</v>
      </c>
      <c r="F922" s="13">
        <v>3400</v>
      </c>
      <c r="G922" s="13" t="s">
        <v>27</v>
      </c>
    </row>
    <row r="923" spans="1:7" x14ac:dyDescent="0.3">
      <c r="A923" s="13" t="s">
        <v>59</v>
      </c>
      <c r="B923" s="13" t="s">
        <v>1162</v>
      </c>
      <c r="C923" s="13" t="s">
        <v>65</v>
      </c>
      <c r="D923" s="13">
        <v>3</v>
      </c>
      <c r="E923" s="16">
        <v>106</v>
      </c>
      <c r="F923" s="13">
        <v>318</v>
      </c>
      <c r="G923" s="13" t="s">
        <v>33</v>
      </c>
    </row>
    <row r="924" spans="1:7" x14ac:dyDescent="0.3">
      <c r="A924" s="13" t="s">
        <v>59</v>
      </c>
      <c r="B924" s="13" t="s">
        <v>60</v>
      </c>
      <c r="C924" s="13" t="s">
        <v>38</v>
      </c>
      <c r="D924" s="13">
        <v>4</v>
      </c>
      <c r="E924" s="16">
        <v>490</v>
      </c>
      <c r="F924" s="13">
        <v>1960</v>
      </c>
      <c r="G924" s="13" t="s">
        <v>7</v>
      </c>
    </row>
    <row r="925" spans="1:7" x14ac:dyDescent="0.3">
      <c r="A925" s="13" t="s">
        <v>296</v>
      </c>
      <c r="B925" s="13" t="s">
        <v>297</v>
      </c>
      <c r="C925" s="13" t="s">
        <v>79</v>
      </c>
      <c r="D925" s="13">
        <v>1</v>
      </c>
      <c r="E925" s="16">
        <v>420</v>
      </c>
      <c r="F925" s="13">
        <v>420</v>
      </c>
      <c r="G925" s="13" t="s">
        <v>33</v>
      </c>
    </row>
    <row r="926" spans="1:7" x14ac:dyDescent="0.3">
      <c r="A926" s="13" t="s">
        <v>1225</v>
      </c>
      <c r="B926" s="13" t="s">
        <v>1226</v>
      </c>
      <c r="C926" s="13" t="s">
        <v>30</v>
      </c>
      <c r="D926" s="13">
        <v>6</v>
      </c>
      <c r="E926" s="16">
        <v>602</v>
      </c>
      <c r="F926" s="13">
        <v>3612</v>
      </c>
      <c r="G926" s="13" t="s">
        <v>33</v>
      </c>
    </row>
    <row r="927" spans="1:7" x14ac:dyDescent="0.3">
      <c r="A927" s="13" t="s">
        <v>659</v>
      </c>
      <c r="B927" s="13" t="s">
        <v>692</v>
      </c>
      <c r="C927" s="13" t="s">
        <v>6</v>
      </c>
      <c r="D927" s="13">
        <v>3</v>
      </c>
      <c r="E927" s="16">
        <v>376</v>
      </c>
      <c r="F927" s="13">
        <v>1128</v>
      </c>
      <c r="G927" s="13" t="s">
        <v>7</v>
      </c>
    </row>
    <row r="928" spans="1:7" x14ac:dyDescent="0.3">
      <c r="A928" s="13" t="s">
        <v>1019</v>
      </c>
      <c r="B928" s="13" t="s">
        <v>1020</v>
      </c>
      <c r="C928" s="13" t="s">
        <v>65</v>
      </c>
      <c r="D928" s="13">
        <v>2</v>
      </c>
      <c r="E928" s="16">
        <v>395</v>
      </c>
      <c r="F928" s="13">
        <v>790</v>
      </c>
      <c r="G928" s="13" t="s">
        <v>27</v>
      </c>
    </row>
    <row r="929" spans="1:7" x14ac:dyDescent="0.3">
      <c r="A929" s="13" t="s">
        <v>1019</v>
      </c>
      <c r="B929" s="13" t="s">
        <v>1330</v>
      </c>
      <c r="C929" s="13" t="s">
        <v>30</v>
      </c>
      <c r="D929" s="13">
        <v>2</v>
      </c>
      <c r="E929" s="16">
        <v>983</v>
      </c>
      <c r="F929" s="13">
        <v>1966</v>
      </c>
      <c r="G929" s="13" t="s">
        <v>33</v>
      </c>
    </row>
    <row r="930" spans="1:7" x14ac:dyDescent="0.3">
      <c r="A930" s="13" t="s">
        <v>939</v>
      </c>
      <c r="B930" s="13" t="s">
        <v>940</v>
      </c>
      <c r="C930" s="13" t="s">
        <v>10</v>
      </c>
      <c r="D930" s="13">
        <v>1</v>
      </c>
      <c r="E930" s="16">
        <v>378</v>
      </c>
      <c r="F930" s="13">
        <v>378</v>
      </c>
      <c r="G930" s="13" t="s">
        <v>15</v>
      </c>
    </row>
    <row r="931" spans="1:7" x14ac:dyDescent="0.3">
      <c r="A931" s="13" t="s">
        <v>164</v>
      </c>
      <c r="B931" s="13" t="s">
        <v>165</v>
      </c>
      <c r="C931" s="13" t="s">
        <v>65</v>
      </c>
      <c r="D931" s="13">
        <v>2</v>
      </c>
      <c r="E931" s="16">
        <v>710</v>
      </c>
      <c r="F931" s="13">
        <v>1420</v>
      </c>
      <c r="G931" s="13" t="s">
        <v>7</v>
      </c>
    </row>
    <row r="932" spans="1:7" x14ac:dyDescent="0.3">
      <c r="A932" s="13" t="s">
        <v>559</v>
      </c>
      <c r="B932" s="13" t="s">
        <v>560</v>
      </c>
      <c r="C932" s="13" t="s">
        <v>30</v>
      </c>
      <c r="D932" s="13">
        <v>1</v>
      </c>
      <c r="E932" s="16">
        <v>831</v>
      </c>
      <c r="F932" s="13">
        <v>831</v>
      </c>
      <c r="G932" s="13" t="s">
        <v>7</v>
      </c>
    </row>
    <row r="933" spans="1:7" x14ac:dyDescent="0.3">
      <c r="A933" s="13" t="s">
        <v>559</v>
      </c>
      <c r="B933" s="13" t="s">
        <v>640</v>
      </c>
      <c r="C933" s="13" t="s">
        <v>68</v>
      </c>
      <c r="D933" s="13">
        <v>5</v>
      </c>
      <c r="E933" s="16">
        <v>895</v>
      </c>
      <c r="F933" s="13">
        <v>4475</v>
      </c>
      <c r="G933" s="13" t="s">
        <v>11</v>
      </c>
    </row>
    <row r="934" spans="1:7" x14ac:dyDescent="0.3">
      <c r="A934" s="13" t="s">
        <v>156</v>
      </c>
      <c r="B934" s="13" t="s">
        <v>1042</v>
      </c>
      <c r="C934" s="13" t="s">
        <v>79</v>
      </c>
      <c r="D934" s="13">
        <v>3</v>
      </c>
      <c r="E934" s="16">
        <v>239</v>
      </c>
      <c r="F934" s="13">
        <v>717</v>
      </c>
      <c r="G934" s="13" t="s">
        <v>11</v>
      </c>
    </row>
    <row r="935" spans="1:7" x14ac:dyDescent="0.3">
      <c r="A935" s="13" t="s">
        <v>156</v>
      </c>
      <c r="B935" s="13" t="s">
        <v>816</v>
      </c>
      <c r="C935" s="13" t="s">
        <v>30</v>
      </c>
      <c r="D935" s="13">
        <v>5</v>
      </c>
      <c r="E935" s="16">
        <v>609</v>
      </c>
      <c r="F935" s="13">
        <v>3045</v>
      </c>
      <c r="G935" s="13" t="s">
        <v>33</v>
      </c>
    </row>
    <row r="936" spans="1:7" x14ac:dyDescent="0.3">
      <c r="A936" s="13" t="s">
        <v>1009</v>
      </c>
      <c r="B936" s="13" t="s">
        <v>1010</v>
      </c>
      <c r="C936" s="13" t="s">
        <v>65</v>
      </c>
      <c r="D936" s="13">
        <v>4</v>
      </c>
      <c r="E936" s="16">
        <v>216</v>
      </c>
      <c r="F936" s="13">
        <v>864</v>
      </c>
      <c r="G936" s="13" t="s">
        <v>27</v>
      </c>
    </row>
    <row r="937" spans="1:7" x14ac:dyDescent="0.3">
      <c r="A937" s="13" t="s">
        <v>347</v>
      </c>
      <c r="B937" s="13" t="s">
        <v>773</v>
      </c>
      <c r="C937" s="13" t="s">
        <v>6</v>
      </c>
      <c r="D937" s="13">
        <v>1</v>
      </c>
      <c r="E937" s="16">
        <v>501</v>
      </c>
      <c r="F937" s="13">
        <v>501</v>
      </c>
      <c r="G937" s="13" t="s">
        <v>15</v>
      </c>
    </row>
    <row r="938" spans="1:7" x14ac:dyDescent="0.3">
      <c r="A938" s="13" t="s">
        <v>665</v>
      </c>
      <c r="B938" s="13" t="s">
        <v>667</v>
      </c>
      <c r="C938" s="13" t="s">
        <v>65</v>
      </c>
      <c r="D938" s="13">
        <v>1</v>
      </c>
      <c r="E938" s="16">
        <v>562</v>
      </c>
      <c r="F938" s="13">
        <v>562</v>
      </c>
      <c r="G938" s="13" t="s">
        <v>27</v>
      </c>
    </row>
    <row r="939" spans="1:7" x14ac:dyDescent="0.3">
      <c r="A939" s="13" t="s">
        <v>665</v>
      </c>
      <c r="B939" s="13" t="s">
        <v>1269</v>
      </c>
      <c r="C939" s="13" t="s">
        <v>38</v>
      </c>
      <c r="D939" s="13">
        <v>3</v>
      </c>
      <c r="E939" s="16">
        <v>479</v>
      </c>
      <c r="F939" s="13">
        <v>1437</v>
      </c>
      <c r="G939" s="13" t="s">
        <v>15</v>
      </c>
    </row>
    <row r="940" spans="1:7" x14ac:dyDescent="0.3">
      <c r="A940" s="13" t="s">
        <v>665</v>
      </c>
      <c r="B940" s="13" t="s">
        <v>1239</v>
      </c>
      <c r="C940" s="13" t="s">
        <v>68</v>
      </c>
      <c r="D940" s="13">
        <v>5</v>
      </c>
      <c r="E940" s="16">
        <v>904</v>
      </c>
      <c r="F940" s="13">
        <v>4520</v>
      </c>
      <c r="G940" s="13" t="s">
        <v>11</v>
      </c>
    </row>
    <row r="941" spans="1:7" x14ac:dyDescent="0.3">
      <c r="A941" s="13" t="s">
        <v>1057</v>
      </c>
      <c r="B941" s="13" t="s">
        <v>1058</v>
      </c>
      <c r="C941" s="13" t="s">
        <v>18</v>
      </c>
      <c r="D941" s="13">
        <v>5</v>
      </c>
      <c r="E941" s="16">
        <v>359</v>
      </c>
      <c r="F941" s="13">
        <v>1795</v>
      </c>
      <c r="G941" s="13" t="s">
        <v>7</v>
      </c>
    </row>
    <row r="942" spans="1:7" x14ac:dyDescent="0.3">
      <c r="A942" s="13" t="s">
        <v>627</v>
      </c>
      <c r="B942" s="13" t="s">
        <v>628</v>
      </c>
      <c r="C942" s="13" t="s">
        <v>10</v>
      </c>
      <c r="D942" s="13">
        <v>6</v>
      </c>
      <c r="E942" s="16">
        <v>345</v>
      </c>
      <c r="F942" s="13">
        <v>2070</v>
      </c>
      <c r="G942" s="13" t="s">
        <v>15</v>
      </c>
    </row>
    <row r="943" spans="1:7" x14ac:dyDescent="0.3">
      <c r="A943" s="13" t="s">
        <v>181</v>
      </c>
      <c r="B943" s="13" t="s">
        <v>957</v>
      </c>
      <c r="C943" s="13" t="s">
        <v>65</v>
      </c>
      <c r="D943" s="13">
        <v>3</v>
      </c>
      <c r="E943" s="16">
        <v>985</v>
      </c>
      <c r="F943" s="13">
        <v>2955</v>
      </c>
      <c r="G943" s="13" t="s">
        <v>7</v>
      </c>
    </row>
    <row r="944" spans="1:7" x14ac:dyDescent="0.3">
      <c r="A944" s="13" t="s">
        <v>444</v>
      </c>
      <c r="B944" s="13" t="s">
        <v>445</v>
      </c>
      <c r="C944" s="13" t="s">
        <v>38</v>
      </c>
      <c r="D944" s="13">
        <v>1</v>
      </c>
      <c r="E944" s="16">
        <v>996</v>
      </c>
      <c r="F944" s="13">
        <v>996</v>
      </c>
      <c r="G944" s="13" t="s">
        <v>33</v>
      </c>
    </row>
    <row r="945" spans="1:7" x14ac:dyDescent="0.3">
      <c r="A945" s="13" t="s">
        <v>801</v>
      </c>
      <c r="B945" s="13" t="s">
        <v>802</v>
      </c>
      <c r="C945" s="13" t="s">
        <v>65</v>
      </c>
      <c r="D945" s="13">
        <v>6</v>
      </c>
      <c r="E945" s="16">
        <v>624</v>
      </c>
      <c r="F945" s="13">
        <v>3744</v>
      </c>
      <c r="G945" s="13" t="s">
        <v>27</v>
      </c>
    </row>
    <row r="946" spans="1:7" x14ac:dyDescent="0.3">
      <c r="A946" s="13" t="s">
        <v>306</v>
      </c>
      <c r="B946" s="13" t="s">
        <v>1187</v>
      </c>
      <c r="C946" s="13" t="s">
        <v>65</v>
      </c>
      <c r="D946" s="13">
        <v>1</v>
      </c>
      <c r="E946" s="16">
        <v>124</v>
      </c>
      <c r="F946" s="13">
        <v>124</v>
      </c>
      <c r="G946" s="13" t="s">
        <v>7</v>
      </c>
    </row>
    <row r="947" spans="1:7" x14ac:dyDescent="0.3">
      <c r="A947" s="13" t="s">
        <v>657</v>
      </c>
      <c r="B947" s="13" t="s">
        <v>658</v>
      </c>
      <c r="C947" s="13" t="s">
        <v>6</v>
      </c>
      <c r="D947" s="13">
        <v>4</v>
      </c>
      <c r="E947" s="16">
        <v>823</v>
      </c>
      <c r="F947" s="13">
        <v>3292</v>
      </c>
      <c r="G947" s="13" t="s">
        <v>7</v>
      </c>
    </row>
    <row r="948" spans="1:7" x14ac:dyDescent="0.3">
      <c r="A948" s="13" t="s">
        <v>338</v>
      </c>
      <c r="B948" s="13" t="s">
        <v>373</v>
      </c>
      <c r="C948" s="13" t="s">
        <v>18</v>
      </c>
      <c r="D948" s="13">
        <v>2</v>
      </c>
      <c r="E948" s="16">
        <v>848</v>
      </c>
      <c r="F948" s="13">
        <v>1696</v>
      </c>
      <c r="G948" s="13" t="s">
        <v>19</v>
      </c>
    </row>
    <row r="949" spans="1:7" x14ac:dyDescent="0.3">
      <c r="A949" s="13" t="s">
        <v>338</v>
      </c>
      <c r="B949" s="13" t="s">
        <v>739</v>
      </c>
      <c r="C949" s="13" t="s">
        <v>14</v>
      </c>
      <c r="D949" s="13">
        <v>5</v>
      </c>
      <c r="E949" s="16">
        <v>851</v>
      </c>
      <c r="F949" s="13">
        <v>4255</v>
      </c>
      <c r="G949" s="13" t="s">
        <v>15</v>
      </c>
    </row>
    <row r="950" spans="1:7" x14ac:dyDescent="0.3">
      <c r="A950" s="13" t="s">
        <v>633</v>
      </c>
      <c r="B950" s="13" t="s">
        <v>871</v>
      </c>
      <c r="C950" s="13" t="s">
        <v>38</v>
      </c>
      <c r="D950" s="13">
        <v>4</v>
      </c>
      <c r="E950" s="16">
        <v>347</v>
      </c>
      <c r="F950" s="13">
        <v>1388</v>
      </c>
      <c r="G950" s="13" t="s">
        <v>7</v>
      </c>
    </row>
    <row r="951" spans="1:7" x14ac:dyDescent="0.3">
      <c r="A951" s="13" t="s">
        <v>633</v>
      </c>
      <c r="B951" s="13" t="s">
        <v>634</v>
      </c>
      <c r="C951" s="13" t="s">
        <v>18</v>
      </c>
      <c r="D951" s="13">
        <v>5</v>
      </c>
      <c r="E951" s="16">
        <v>566</v>
      </c>
      <c r="F951" s="13">
        <v>2830</v>
      </c>
      <c r="G951" s="13" t="s">
        <v>11</v>
      </c>
    </row>
    <row r="952" spans="1:7" x14ac:dyDescent="0.3">
      <c r="A952" s="13" t="s">
        <v>633</v>
      </c>
      <c r="B952" s="13" t="s">
        <v>826</v>
      </c>
      <c r="C952" s="13" t="s">
        <v>68</v>
      </c>
      <c r="D952" s="13">
        <v>5</v>
      </c>
      <c r="E952" s="16">
        <v>872</v>
      </c>
      <c r="F952" s="13">
        <v>4360</v>
      </c>
      <c r="G952" s="13" t="s">
        <v>19</v>
      </c>
    </row>
    <row r="953" spans="1:7" x14ac:dyDescent="0.3">
      <c r="A953" s="13" t="s">
        <v>158</v>
      </c>
      <c r="B953" s="13" t="s">
        <v>160</v>
      </c>
      <c r="C953" s="13" t="s">
        <v>30</v>
      </c>
      <c r="D953" s="13">
        <v>6</v>
      </c>
      <c r="E953" s="16">
        <v>118</v>
      </c>
      <c r="F953" s="13">
        <v>708</v>
      </c>
      <c r="G953" s="13" t="s">
        <v>19</v>
      </c>
    </row>
    <row r="954" spans="1:7" x14ac:dyDescent="0.3">
      <c r="A954" s="13" t="s">
        <v>158</v>
      </c>
      <c r="B954" s="13" t="s">
        <v>1264</v>
      </c>
      <c r="C954" s="13" t="s">
        <v>24</v>
      </c>
      <c r="D954" s="13">
        <v>2</v>
      </c>
      <c r="E954" s="16">
        <v>833</v>
      </c>
      <c r="F954" s="13">
        <v>1666</v>
      </c>
      <c r="G954" s="13" t="s">
        <v>33</v>
      </c>
    </row>
    <row r="955" spans="1:7" x14ac:dyDescent="0.3">
      <c r="A955" s="13" t="s">
        <v>614</v>
      </c>
      <c r="B955" s="13" t="s">
        <v>1108</v>
      </c>
      <c r="C955" s="13" t="s">
        <v>18</v>
      </c>
      <c r="D955" s="13">
        <v>1</v>
      </c>
      <c r="E955" s="16">
        <v>612</v>
      </c>
      <c r="F955" s="13">
        <v>612</v>
      </c>
      <c r="G955" s="13" t="s">
        <v>33</v>
      </c>
    </row>
    <row r="956" spans="1:7" x14ac:dyDescent="0.3">
      <c r="A956" s="13" t="s">
        <v>614</v>
      </c>
      <c r="B956" s="13" t="s">
        <v>615</v>
      </c>
      <c r="C956" s="13" t="s">
        <v>30</v>
      </c>
      <c r="D956" s="13">
        <v>1</v>
      </c>
      <c r="E956" s="16">
        <v>832</v>
      </c>
      <c r="F956" s="13">
        <v>832</v>
      </c>
      <c r="G956" s="13" t="s">
        <v>33</v>
      </c>
    </row>
    <row r="957" spans="1:7" x14ac:dyDescent="0.3">
      <c r="A957" s="13" t="s">
        <v>528</v>
      </c>
      <c r="B957" s="13" t="s">
        <v>1031</v>
      </c>
      <c r="C957" s="13" t="s">
        <v>65</v>
      </c>
      <c r="D957" s="13">
        <v>3</v>
      </c>
      <c r="E957" s="16">
        <v>704</v>
      </c>
      <c r="F957" s="13">
        <v>2112</v>
      </c>
      <c r="G957" s="13" t="s">
        <v>27</v>
      </c>
    </row>
    <row r="958" spans="1:7" x14ac:dyDescent="0.3">
      <c r="A958" s="13" t="s">
        <v>924</v>
      </c>
      <c r="B958" s="13" t="s">
        <v>925</v>
      </c>
      <c r="C958" s="13" t="s">
        <v>14</v>
      </c>
      <c r="D958" s="13">
        <v>3</v>
      </c>
      <c r="E958" s="16">
        <v>55</v>
      </c>
      <c r="F958" s="13">
        <v>165</v>
      </c>
      <c r="G958" s="13" t="s">
        <v>33</v>
      </c>
    </row>
    <row r="959" spans="1:7" x14ac:dyDescent="0.3">
      <c r="A959" s="13" t="s">
        <v>104</v>
      </c>
      <c r="B959" s="13" t="s">
        <v>589</v>
      </c>
      <c r="C959" s="13" t="s">
        <v>30</v>
      </c>
      <c r="D959" s="13">
        <v>2</v>
      </c>
      <c r="E959" s="16">
        <v>101</v>
      </c>
      <c r="F959" s="13">
        <v>202</v>
      </c>
      <c r="G959" s="13" t="s">
        <v>27</v>
      </c>
    </row>
    <row r="960" spans="1:7" x14ac:dyDescent="0.3">
      <c r="A960" s="13" t="s">
        <v>104</v>
      </c>
      <c r="B960" s="13" t="s">
        <v>105</v>
      </c>
      <c r="C960" s="13" t="s">
        <v>65</v>
      </c>
      <c r="D960" s="13">
        <v>5</v>
      </c>
      <c r="E960" s="16">
        <v>93</v>
      </c>
      <c r="F960" s="13">
        <v>465</v>
      </c>
      <c r="G960" s="13" t="s">
        <v>15</v>
      </c>
    </row>
    <row r="961" spans="1:7" x14ac:dyDescent="0.3">
      <c r="A961" s="13" t="s">
        <v>104</v>
      </c>
      <c r="B961" s="13" t="s">
        <v>1156</v>
      </c>
      <c r="C961" s="13" t="s">
        <v>68</v>
      </c>
      <c r="D961" s="13">
        <v>5</v>
      </c>
      <c r="E961" s="16">
        <v>550</v>
      </c>
      <c r="F961" s="13">
        <v>2750</v>
      </c>
      <c r="G961" s="13" t="s">
        <v>11</v>
      </c>
    </row>
    <row r="962" spans="1:7" x14ac:dyDescent="0.3">
      <c r="A962" s="13" t="s">
        <v>91</v>
      </c>
      <c r="B962" s="13" t="s">
        <v>92</v>
      </c>
      <c r="C962" s="13" t="s">
        <v>38</v>
      </c>
      <c r="D962" s="13">
        <v>2</v>
      </c>
      <c r="E962" s="16">
        <v>784</v>
      </c>
      <c r="F962" s="13">
        <v>1568</v>
      </c>
      <c r="G962" s="13" t="s">
        <v>11</v>
      </c>
    </row>
    <row r="963" spans="1:7" x14ac:dyDescent="0.3">
      <c r="A963" s="13" t="s">
        <v>131</v>
      </c>
      <c r="B963" s="13" t="s">
        <v>708</v>
      </c>
      <c r="C963" s="13" t="s">
        <v>38</v>
      </c>
      <c r="D963" s="13">
        <v>1</v>
      </c>
      <c r="E963" s="16">
        <v>626</v>
      </c>
      <c r="F963" s="13">
        <v>626</v>
      </c>
      <c r="G963" s="13" t="s">
        <v>27</v>
      </c>
    </row>
    <row r="964" spans="1:7" x14ac:dyDescent="0.3">
      <c r="A964" s="13" t="s">
        <v>131</v>
      </c>
      <c r="B964" s="13" t="s">
        <v>133</v>
      </c>
      <c r="C964" s="13" t="s">
        <v>6</v>
      </c>
      <c r="D964" s="13">
        <v>6</v>
      </c>
      <c r="E964" s="16">
        <v>422</v>
      </c>
      <c r="F964" s="13">
        <v>2532</v>
      </c>
      <c r="G964" s="13" t="s">
        <v>11</v>
      </c>
    </row>
    <row r="965" spans="1:7" x14ac:dyDescent="0.3">
      <c r="A965" s="13" t="s">
        <v>131</v>
      </c>
      <c r="B965" s="13" t="s">
        <v>864</v>
      </c>
      <c r="C965" s="13" t="s">
        <v>18</v>
      </c>
      <c r="D965" s="13">
        <v>3</v>
      </c>
      <c r="E965" s="16">
        <v>967</v>
      </c>
      <c r="F965" s="13">
        <v>2901</v>
      </c>
      <c r="G965" s="13" t="s">
        <v>19</v>
      </c>
    </row>
    <row r="966" spans="1:7" x14ac:dyDescent="0.3">
      <c r="A966" s="13" t="s">
        <v>171</v>
      </c>
      <c r="B966" s="13" t="s">
        <v>172</v>
      </c>
      <c r="C966" s="13" t="s">
        <v>18</v>
      </c>
      <c r="D966" s="13">
        <v>1</v>
      </c>
      <c r="E966" s="16">
        <v>630</v>
      </c>
      <c r="F966" s="13">
        <v>630</v>
      </c>
      <c r="G966" s="13" t="s">
        <v>27</v>
      </c>
    </row>
    <row r="967" spans="1:7" x14ac:dyDescent="0.3">
      <c r="A967" s="13" t="s">
        <v>675</v>
      </c>
      <c r="B967" s="13" t="s">
        <v>1243</v>
      </c>
      <c r="C967" s="13" t="s">
        <v>68</v>
      </c>
      <c r="D967" s="13">
        <v>4</v>
      </c>
      <c r="E967" s="16">
        <v>355</v>
      </c>
      <c r="F967" s="13">
        <v>1420</v>
      </c>
      <c r="G967" s="13" t="s">
        <v>33</v>
      </c>
    </row>
    <row r="968" spans="1:7" x14ac:dyDescent="0.3">
      <c r="A968" s="13" t="s">
        <v>22</v>
      </c>
      <c r="B968" s="13" t="s">
        <v>23</v>
      </c>
      <c r="C968" s="13" t="s">
        <v>24</v>
      </c>
      <c r="D968" s="13">
        <v>6</v>
      </c>
      <c r="E968" s="16">
        <v>966</v>
      </c>
      <c r="F968" s="13">
        <v>5796</v>
      </c>
      <c r="G968" s="13" t="s">
        <v>15</v>
      </c>
    </row>
    <row r="969" spans="1:7" x14ac:dyDescent="0.3">
      <c r="A969" s="13" t="s">
        <v>302</v>
      </c>
      <c r="B969" s="13" t="s">
        <v>1294</v>
      </c>
      <c r="C969" s="13" t="s">
        <v>14</v>
      </c>
      <c r="D969" s="13">
        <v>1</v>
      </c>
      <c r="E969" s="16">
        <v>602</v>
      </c>
      <c r="F969" s="13">
        <v>602</v>
      </c>
      <c r="G969" s="13" t="s">
        <v>15</v>
      </c>
    </row>
    <row r="970" spans="1:7" x14ac:dyDescent="0.3">
      <c r="A970" s="13" t="s">
        <v>302</v>
      </c>
      <c r="B970" s="13" t="s">
        <v>937</v>
      </c>
      <c r="C970" s="13" t="s">
        <v>6</v>
      </c>
      <c r="D970" s="13">
        <v>2</v>
      </c>
      <c r="E970" s="16">
        <v>824</v>
      </c>
      <c r="F970" s="13">
        <v>1648</v>
      </c>
      <c r="G970" s="13" t="s">
        <v>7</v>
      </c>
    </row>
    <row r="971" spans="1:7" x14ac:dyDescent="0.3">
      <c r="A971" s="13" t="s">
        <v>148</v>
      </c>
      <c r="B971" s="13" t="s">
        <v>370</v>
      </c>
      <c r="C971" s="13" t="s">
        <v>10</v>
      </c>
      <c r="D971" s="13">
        <v>5</v>
      </c>
      <c r="E971" s="16">
        <v>949</v>
      </c>
      <c r="F971" s="13">
        <v>4745</v>
      </c>
      <c r="G971" s="13" t="s">
        <v>19</v>
      </c>
    </row>
    <row r="972" spans="1:7" x14ac:dyDescent="0.3">
      <c r="A972" s="13" t="s">
        <v>1083</v>
      </c>
      <c r="B972" s="13" t="s">
        <v>1084</v>
      </c>
      <c r="C972" s="13" t="s">
        <v>79</v>
      </c>
      <c r="D972" s="13">
        <v>6</v>
      </c>
      <c r="E972" s="16">
        <v>959</v>
      </c>
      <c r="F972" s="13">
        <v>5754</v>
      </c>
      <c r="G972" s="13" t="s">
        <v>7</v>
      </c>
    </row>
    <row r="973" spans="1:7" x14ac:dyDescent="0.3">
      <c r="A973" s="13" t="s">
        <v>81</v>
      </c>
      <c r="B973" s="13" t="s">
        <v>207</v>
      </c>
      <c r="C973" s="13" t="s">
        <v>30</v>
      </c>
      <c r="D973" s="13">
        <v>5</v>
      </c>
      <c r="E973" s="16">
        <v>166</v>
      </c>
      <c r="F973" s="13">
        <v>830</v>
      </c>
      <c r="G973" s="13" t="s">
        <v>19</v>
      </c>
    </row>
    <row r="974" spans="1:7" x14ac:dyDescent="0.3">
      <c r="A974" s="13" t="s">
        <v>81</v>
      </c>
      <c r="B974" s="13" t="s">
        <v>376</v>
      </c>
      <c r="C974" s="13" t="s">
        <v>10</v>
      </c>
      <c r="D974" s="13">
        <v>4</v>
      </c>
      <c r="E974" s="16">
        <v>705</v>
      </c>
      <c r="F974" s="13">
        <v>2820</v>
      </c>
      <c r="G974" s="13" t="s">
        <v>33</v>
      </c>
    </row>
    <row r="975" spans="1:7" x14ac:dyDescent="0.3">
      <c r="A975" s="13" t="s">
        <v>1102</v>
      </c>
      <c r="B975" s="13" t="s">
        <v>1318</v>
      </c>
      <c r="C975" s="13" t="s">
        <v>38</v>
      </c>
      <c r="D975" s="13">
        <v>1</v>
      </c>
      <c r="E975" s="16">
        <v>583</v>
      </c>
      <c r="F975" s="13">
        <v>583</v>
      </c>
      <c r="G975" s="13" t="s">
        <v>11</v>
      </c>
    </row>
    <row r="976" spans="1:7" x14ac:dyDescent="0.3">
      <c r="A976" s="13" t="s">
        <v>1102</v>
      </c>
      <c r="B976" s="13" t="s">
        <v>1103</v>
      </c>
      <c r="C976" s="13" t="s">
        <v>68</v>
      </c>
      <c r="D976" s="13">
        <v>2</v>
      </c>
      <c r="E976" s="16">
        <v>815</v>
      </c>
      <c r="F976" s="13">
        <v>1630</v>
      </c>
      <c r="G976" s="13" t="s">
        <v>33</v>
      </c>
    </row>
    <row r="977" spans="1:7" x14ac:dyDescent="0.3">
      <c r="A977" s="13" t="s">
        <v>505</v>
      </c>
      <c r="B977" s="13" t="s">
        <v>890</v>
      </c>
      <c r="C977" s="13" t="s">
        <v>68</v>
      </c>
      <c r="D977" s="13">
        <v>4</v>
      </c>
      <c r="E977" s="16">
        <v>625</v>
      </c>
      <c r="F977" s="13">
        <v>2500</v>
      </c>
      <c r="G977" s="13" t="s">
        <v>19</v>
      </c>
    </row>
    <row r="978" spans="1:7" x14ac:dyDescent="0.3">
      <c r="A978" s="13" t="s">
        <v>505</v>
      </c>
      <c r="B978" s="13" t="s">
        <v>1021</v>
      </c>
      <c r="C978" s="13" t="s">
        <v>38</v>
      </c>
      <c r="D978" s="13">
        <v>6</v>
      </c>
      <c r="E978" s="16">
        <v>859</v>
      </c>
      <c r="F978" s="13">
        <v>5154</v>
      </c>
      <c r="G978" s="13" t="s">
        <v>27</v>
      </c>
    </row>
    <row r="979" spans="1:7" x14ac:dyDescent="0.3">
      <c r="A979" s="13" t="s">
        <v>576</v>
      </c>
      <c r="B979" s="13" t="s">
        <v>1310</v>
      </c>
      <c r="C979" s="13" t="s">
        <v>6</v>
      </c>
      <c r="D979" s="13">
        <v>1</v>
      </c>
      <c r="E979" s="16">
        <v>738</v>
      </c>
      <c r="F979" s="13">
        <v>738</v>
      </c>
      <c r="G979" s="13" t="s">
        <v>11</v>
      </c>
    </row>
    <row r="980" spans="1:7" x14ac:dyDescent="0.3">
      <c r="A980" s="13" t="s">
        <v>576</v>
      </c>
      <c r="B980" s="13" t="s">
        <v>701</v>
      </c>
      <c r="C980" s="13" t="s">
        <v>68</v>
      </c>
      <c r="D980" s="13">
        <v>3</v>
      </c>
      <c r="E980" s="16">
        <v>657</v>
      </c>
      <c r="F980" s="13">
        <v>1971</v>
      </c>
      <c r="G980" s="13" t="s">
        <v>27</v>
      </c>
    </row>
    <row r="981" spans="1:7" x14ac:dyDescent="0.3">
      <c r="A981" s="13" t="s">
        <v>314</v>
      </c>
      <c r="B981" s="13" t="s">
        <v>315</v>
      </c>
      <c r="C981" s="13" t="s">
        <v>6</v>
      </c>
      <c r="D981" s="13">
        <v>5</v>
      </c>
      <c r="E981" s="16">
        <v>76</v>
      </c>
      <c r="F981" s="13">
        <v>380</v>
      </c>
      <c r="G981" s="13" t="s">
        <v>15</v>
      </c>
    </row>
    <row r="982" spans="1:7" x14ac:dyDescent="0.3">
      <c r="A982" s="13" t="s">
        <v>51</v>
      </c>
      <c r="B982" s="13" t="s">
        <v>886</v>
      </c>
      <c r="C982" s="13" t="s">
        <v>38</v>
      </c>
      <c r="D982" s="13">
        <v>1</v>
      </c>
      <c r="E982" s="16">
        <v>256</v>
      </c>
      <c r="F982" s="13">
        <v>256</v>
      </c>
      <c r="G982" s="13" t="s">
        <v>11</v>
      </c>
    </row>
    <row r="983" spans="1:7" x14ac:dyDescent="0.3">
      <c r="A983" s="13" t="s">
        <v>51</v>
      </c>
      <c r="B983" s="13" t="s">
        <v>1098</v>
      </c>
      <c r="C983" s="13" t="s">
        <v>18</v>
      </c>
      <c r="D983" s="13">
        <v>3</v>
      </c>
      <c r="E983" s="16">
        <v>539</v>
      </c>
      <c r="F983" s="13">
        <v>1617</v>
      </c>
      <c r="G983" s="13" t="s">
        <v>27</v>
      </c>
    </row>
    <row r="984" spans="1:7" x14ac:dyDescent="0.3">
      <c r="A984" s="13" t="s">
        <v>221</v>
      </c>
      <c r="B984" s="13" t="s">
        <v>969</v>
      </c>
      <c r="C984" s="13" t="s">
        <v>6</v>
      </c>
      <c r="D984" s="13">
        <v>1</v>
      </c>
      <c r="E984" s="16">
        <v>456</v>
      </c>
      <c r="F984" s="13">
        <v>456</v>
      </c>
      <c r="G984" s="13" t="s">
        <v>11</v>
      </c>
    </row>
    <row r="985" spans="1:7" x14ac:dyDescent="0.3">
      <c r="A985" s="13" t="s">
        <v>221</v>
      </c>
      <c r="B985" s="13" t="s">
        <v>222</v>
      </c>
      <c r="C985" s="13" t="s">
        <v>79</v>
      </c>
      <c r="D985" s="13">
        <v>5</v>
      </c>
      <c r="E985" s="16">
        <v>625</v>
      </c>
      <c r="F985" s="13">
        <v>3125</v>
      </c>
      <c r="G985" s="13" t="s">
        <v>27</v>
      </c>
    </row>
    <row r="986" spans="1:7" x14ac:dyDescent="0.3">
      <c r="A986" s="13" t="s">
        <v>184</v>
      </c>
      <c r="B986" s="13" t="s">
        <v>977</v>
      </c>
      <c r="C986" s="13" t="s">
        <v>68</v>
      </c>
      <c r="D986" s="13">
        <v>1</v>
      </c>
      <c r="E986" s="16">
        <v>346</v>
      </c>
      <c r="F986" s="13">
        <v>346</v>
      </c>
      <c r="G986" s="13" t="s">
        <v>7</v>
      </c>
    </row>
    <row r="987" spans="1:7" x14ac:dyDescent="0.3">
      <c r="A987" s="13" t="s">
        <v>184</v>
      </c>
      <c r="B987" s="13" t="s">
        <v>185</v>
      </c>
      <c r="C987" s="13" t="s">
        <v>14</v>
      </c>
      <c r="D987" s="13">
        <v>3</v>
      </c>
      <c r="E987" s="16">
        <v>430</v>
      </c>
      <c r="F987" s="13">
        <v>1290</v>
      </c>
      <c r="G987" s="13" t="s">
        <v>7</v>
      </c>
    </row>
    <row r="988" spans="1:7" x14ac:dyDescent="0.3">
      <c r="A988" s="13" t="s">
        <v>619</v>
      </c>
      <c r="B988" s="13" t="s">
        <v>620</v>
      </c>
      <c r="C988" s="13" t="s">
        <v>24</v>
      </c>
      <c r="D988" s="13">
        <v>2</v>
      </c>
      <c r="E988" s="16">
        <v>102</v>
      </c>
      <c r="F988" s="13">
        <v>204</v>
      </c>
      <c r="G988" s="13" t="s">
        <v>33</v>
      </c>
    </row>
    <row r="989" spans="1:7" x14ac:dyDescent="0.3">
      <c r="A989" s="13" t="s">
        <v>619</v>
      </c>
      <c r="B989" s="13" t="s">
        <v>759</v>
      </c>
      <c r="C989" s="13" t="s">
        <v>38</v>
      </c>
      <c r="D989" s="13">
        <v>3</v>
      </c>
      <c r="E989" s="16">
        <v>439</v>
      </c>
      <c r="F989" s="13">
        <v>1317</v>
      </c>
      <c r="G989" s="13" t="s">
        <v>11</v>
      </c>
    </row>
    <row r="990" spans="1:7" x14ac:dyDescent="0.3">
      <c r="A990" s="13" t="s">
        <v>402</v>
      </c>
      <c r="B990" s="13" t="s">
        <v>403</v>
      </c>
      <c r="C990" s="13" t="s">
        <v>38</v>
      </c>
      <c r="D990" s="13">
        <v>3</v>
      </c>
      <c r="E990" s="16">
        <v>966</v>
      </c>
      <c r="F990" s="13">
        <v>2898</v>
      </c>
      <c r="G990" s="13" t="s">
        <v>15</v>
      </c>
    </row>
    <row r="991" spans="1:7" x14ac:dyDescent="0.3">
      <c r="A991" s="13" t="s">
        <v>73</v>
      </c>
      <c r="B991" s="13" t="s">
        <v>1323</v>
      </c>
      <c r="C991" s="13" t="s">
        <v>65</v>
      </c>
      <c r="D991" s="13">
        <v>4</v>
      </c>
      <c r="E991" s="16">
        <v>331</v>
      </c>
      <c r="F991" s="13">
        <v>1324</v>
      </c>
      <c r="G991" s="13" t="s">
        <v>19</v>
      </c>
    </row>
    <row r="992" spans="1:7" x14ac:dyDescent="0.3">
      <c r="A992" s="13" t="s">
        <v>73</v>
      </c>
      <c r="B992" s="13" t="s">
        <v>551</v>
      </c>
      <c r="C992" s="13" t="s">
        <v>14</v>
      </c>
      <c r="D992" s="13">
        <v>2</v>
      </c>
      <c r="E992" s="16">
        <v>883</v>
      </c>
      <c r="F992" s="13">
        <v>1766</v>
      </c>
      <c r="G992" s="13" t="s">
        <v>7</v>
      </c>
    </row>
    <row r="993" spans="1:7" x14ac:dyDescent="0.3">
      <c r="A993" s="13" t="s">
        <v>48</v>
      </c>
      <c r="B993" s="13" t="s">
        <v>49</v>
      </c>
      <c r="C993" s="13" t="s">
        <v>18</v>
      </c>
      <c r="D993" s="13">
        <v>4</v>
      </c>
      <c r="E993" s="16">
        <v>323</v>
      </c>
      <c r="F993" s="13">
        <v>1292</v>
      </c>
      <c r="G993" s="13" t="s">
        <v>15</v>
      </c>
    </row>
    <row r="994" spans="1:7" x14ac:dyDescent="0.3">
      <c r="A994" s="13" t="s">
        <v>283</v>
      </c>
      <c r="B994" s="13" t="s">
        <v>284</v>
      </c>
      <c r="C994" s="13" t="s">
        <v>68</v>
      </c>
      <c r="D994" s="13">
        <v>3</v>
      </c>
      <c r="E994" s="16">
        <v>921</v>
      </c>
      <c r="F994" s="13">
        <v>2763</v>
      </c>
      <c r="G994" s="13" t="s">
        <v>7</v>
      </c>
    </row>
    <row r="995" spans="1:7" x14ac:dyDescent="0.3">
      <c r="A995" s="13" t="s">
        <v>16</v>
      </c>
      <c r="B995" s="13" t="s">
        <v>395</v>
      </c>
      <c r="C995" s="13" t="s">
        <v>6</v>
      </c>
      <c r="D995" s="13">
        <v>1</v>
      </c>
      <c r="E995" s="16">
        <v>380</v>
      </c>
      <c r="F995" s="13">
        <v>380</v>
      </c>
      <c r="G995" s="13" t="s">
        <v>11</v>
      </c>
    </row>
    <row r="996" spans="1:7" x14ac:dyDescent="0.3">
      <c r="A996" s="13" t="s">
        <v>16</v>
      </c>
      <c r="B996" s="13" t="s">
        <v>396</v>
      </c>
      <c r="C996" s="13" t="s">
        <v>6</v>
      </c>
      <c r="D996" s="13">
        <v>3</v>
      </c>
      <c r="E996" s="16">
        <v>776</v>
      </c>
      <c r="F996" s="13">
        <v>2328</v>
      </c>
      <c r="G996" s="13" t="s">
        <v>7</v>
      </c>
    </row>
    <row r="997" spans="1:7" x14ac:dyDescent="0.3">
      <c r="A997" s="13" t="s">
        <v>448</v>
      </c>
      <c r="B997" s="13" t="s">
        <v>449</v>
      </c>
      <c r="C997" s="13" t="s">
        <v>65</v>
      </c>
      <c r="D997" s="13">
        <v>3</v>
      </c>
      <c r="E997" s="16">
        <v>92</v>
      </c>
      <c r="F997" s="13">
        <v>276</v>
      </c>
      <c r="G997" s="13" t="s">
        <v>7</v>
      </c>
    </row>
    <row r="998" spans="1:7" x14ac:dyDescent="0.3">
      <c r="A998" s="13" t="s">
        <v>467</v>
      </c>
      <c r="B998" s="13" t="s">
        <v>468</v>
      </c>
      <c r="C998" s="13" t="s">
        <v>24</v>
      </c>
      <c r="D998" s="13">
        <v>4</v>
      </c>
      <c r="E998" s="16">
        <v>476</v>
      </c>
      <c r="F998" s="13">
        <v>1904</v>
      </c>
      <c r="G998" s="13" t="s">
        <v>7</v>
      </c>
    </row>
    <row r="999" spans="1:7" x14ac:dyDescent="0.3">
      <c r="A999" s="13" t="s">
        <v>467</v>
      </c>
      <c r="B999" s="13" t="s">
        <v>486</v>
      </c>
      <c r="C999" s="13" t="s">
        <v>30</v>
      </c>
      <c r="D999" s="13">
        <v>3</v>
      </c>
      <c r="E999" s="16">
        <v>876</v>
      </c>
      <c r="F999" s="13">
        <v>2628</v>
      </c>
      <c r="G999" s="13" t="s">
        <v>11</v>
      </c>
    </row>
    <row r="1000" spans="1:7" x14ac:dyDescent="0.3">
      <c r="A1000" s="13" t="s">
        <v>116</v>
      </c>
      <c r="B1000" s="13" t="s">
        <v>377</v>
      </c>
      <c r="C1000" s="13" t="s">
        <v>79</v>
      </c>
      <c r="D1000" s="13">
        <v>3</v>
      </c>
      <c r="E1000" s="16">
        <v>651</v>
      </c>
      <c r="F1000" s="13">
        <v>1953</v>
      </c>
      <c r="G1000" s="13" t="s">
        <v>15</v>
      </c>
    </row>
    <row r="1001" spans="1:7" x14ac:dyDescent="0.3">
      <c r="A1001" s="13" t="s">
        <v>116</v>
      </c>
      <c r="B1001" s="13" t="s">
        <v>117</v>
      </c>
      <c r="C1001" s="13" t="s">
        <v>14</v>
      </c>
      <c r="D1001" s="13">
        <v>6</v>
      </c>
      <c r="E1001" s="16">
        <v>495</v>
      </c>
      <c r="F1001" s="13">
        <v>2970</v>
      </c>
      <c r="G1001" s="13" t="s">
        <v>33</v>
      </c>
    </row>
  </sheetData>
  <phoneticPr fontId="2" type="noConversion"/>
  <conditionalFormatting sqref="A2:G1001">
    <cfRule type="containsBlanks" dxfId="0" priority="1">
      <formula>LEN(TRIM(A2))=0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ECEF8-8269-476B-900D-9AB7B666014E}">
  <dimension ref="A1:M1001"/>
  <sheetViews>
    <sheetView workbookViewId="0">
      <selection activeCell="M2" sqref="M2"/>
    </sheetView>
  </sheetViews>
  <sheetFormatPr defaultRowHeight="14.4" x14ac:dyDescent="0.3"/>
  <cols>
    <col min="1" max="1" width="11.109375" customWidth="1"/>
    <col min="2" max="2" width="23.109375" customWidth="1"/>
    <col min="3" max="3" width="11.21875" customWidth="1"/>
    <col min="4" max="4" width="14.44140625" customWidth="1"/>
    <col min="5" max="5" width="11.33203125" customWidth="1"/>
    <col min="6" max="6" width="14.6640625" customWidth="1"/>
    <col min="7" max="7" width="15.109375" customWidth="1"/>
    <col min="8" max="8" width="6.88671875" customWidth="1"/>
    <col min="9" max="9" width="9.77734375" customWidth="1"/>
    <col min="10" max="10" width="10.33203125" customWidth="1"/>
  </cols>
  <sheetData>
    <row r="1" spans="1:13" x14ac:dyDescent="0.3">
      <c r="A1" t="s">
        <v>0</v>
      </c>
      <c r="B1" t="s">
        <v>1</v>
      </c>
      <c r="C1" t="s">
        <v>2</v>
      </c>
      <c r="D1" t="s">
        <v>1343</v>
      </c>
      <c r="E1" t="s">
        <v>1342</v>
      </c>
      <c r="F1" t="s">
        <v>1341</v>
      </c>
      <c r="G1" t="s">
        <v>3</v>
      </c>
      <c r="H1" t="s">
        <v>1349</v>
      </c>
      <c r="I1" t="s">
        <v>1350</v>
      </c>
      <c r="J1" t="s">
        <v>1351</v>
      </c>
    </row>
    <row r="2" spans="1:13" x14ac:dyDescent="0.3">
      <c r="A2" s="21">
        <v>45699</v>
      </c>
      <c r="B2" t="s">
        <v>183</v>
      </c>
      <c r="C2" t="s">
        <v>38</v>
      </c>
      <c r="D2">
        <v>3</v>
      </c>
      <c r="E2">
        <v>627</v>
      </c>
      <c r="F2">
        <v>1882</v>
      </c>
      <c r="G2" t="s">
        <v>27</v>
      </c>
      <c r="H2">
        <v>2025</v>
      </c>
      <c r="I2" t="s">
        <v>1352</v>
      </c>
      <c r="J2" t="s">
        <v>1353</v>
      </c>
      <c r="M2">
        <f>SUMIFS(F:F,A:A,"&gt;="&amp;EOMONTH(MAX(A:A),-1)+1,A:A,"&lt;="&amp;MAX(A:A))</f>
        <v>158685</v>
      </c>
    </row>
    <row r="3" spans="1:13" x14ac:dyDescent="0.3">
      <c r="A3" s="21">
        <v>45720</v>
      </c>
      <c r="B3" t="s">
        <v>1092</v>
      </c>
      <c r="C3" t="s">
        <v>79</v>
      </c>
      <c r="D3">
        <v>3</v>
      </c>
      <c r="E3">
        <v>627</v>
      </c>
      <c r="F3">
        <v>1882</v>
      </c>
      <c r="G3" t="s">
        <v>7</v>
      </c>
      <c r="H3">
        <v>2025</v>
      </c>
      <c r="I3" t="s">
        <v>1354</v>
      </c>
      <c r="J3" t="s">
        <v>1353</v>
      </c>
    </row>
    <row r="4" spans="1:13" x14ac:dyDescent="0.3">
      <c r="A4" s="21">
        <v>45764</v>
      </c>
      <c r="B4" t="s">
        <v>965</v>
      </c>
      <c r="C4" t="s">
        <v>79</v>
      </c>
      <c r="D4">
        <v>3</v>
      </c>
      <c r="E4">
        <v>627</v>
      </c>
      <c r="F4">
        <v>1882</v>
      </c>
      <c r="G4" t="s">
        <v>27</v>
      </c>
      <c r="H4">
        <v>2025</v>
      </c>
      <c r="I4" t="s">
        <v>1355</v>
      </c>
      <c r="J4" t="s">
        <v>1356</v>
      </c>
    </row>
    <row r="5" spans="1:13" x14ac:dyDescent="0.3">
      <c r="A5" s="21">
        <v>45986</v>
      </c>
      <c r="B5" t="s">
        <v>639</v>
      </c>
      <c r="C5" t="s">
        <v>38</v>
      </c>
      <c r="D5">
        <v>3</v>
      </c>
      <c r="E5">
        <v>627</v>
      </c>
      <c r="F5">
        <v>1882</v>
      </c>
      <c r="G5" t="s">
        <v>33</v>
      </c>
      <c r="H5">
        <v>2025</v>
      </c>
      <c r="I5" t="s">
        <v>1357</v>
      </c>
      <c r="J5" t="s">
        <v>1353</v>
      </c>
    </row>
    <row r="6" spans="1:13" x14ac:dyDescent="0.3">
      <c r="A6" s="21">
        <v>45714</v>
      </c>
      <c r="B6" t="s">
        <v>278</v>
      </c>
      <c r="C6" t="s">
        <v>30</v>
      </c>
      <c r="D6">
        <v>3</v>
      </c>
      <c r="E6">
        <v>347</v>
      </c>
      <c r="F6">
        <v>1041</v>
      </c>
      <c r="G6" t="s">
        <v>19</v>
      </c>
      <c r="H6">
        <v>2025</v>
      </c>
      <c r="I6" t="s">
        <v>1352</v>
      </c>
      <c r="J6" t="s">
        <v>1358</v>
      </c>
    </row>
    <row r="7" spans="1:13" x14ac:dyDescent="0.3">
      <c r="A7" s="21">
        <v>45773</v>
      </c>
      <c r="B7" t="s">
        <v>206</v>
      </c>
      <c r="C7" t="s">
        <v>24</v>
      </c>
      <c r="D7">
        <v>3</v>
      </c>
      <c r="E7">
        <v>305</v>
      </c>
      <c r="F7">
        <v>915</v>
      </c>
      <c r="G7" t="s">
        <v>19</v>
      </c>
      <c r="H7">
        <v>2025</v>
      </c>
      <c r="I7" t="s">
        <v>1355</v>
      </c>
      <c r="J7" t="s">
        <v>1359</v>
      </c>
    </row>
    <row r="8" spans="1:13" x14ac:dyDescent="0.3">
      <c r="A8" s="21">
        <v>45851</v>
      </c>
      <c r="B8" t="s">
        <v>435</v>
      </c>
      <c r="C8" t="s">
        <v>10</v>
      </c>
      <c r="D8">
        <v>3</v>
      </c>
      <c r="E8">
        <v>689</v>
      </c>
      <c r="F8">
        <v>2067</v>
      </c>
      <c r="G8" t="s">
        <v>19</v>
      </c>
      <c r="H8">
        <v>2025</v>
      </c>
      <c r="I8" t="s">
        <v>1360</v>
      </c>
      <c r="J8" t="s">
        <v>1361</v>
      </c>
    </row>
    <row r="9" spans="1:13" x14ac:dyDescent="0.3">
      <c r="A9" s="21">
        <v>45873</v>
      </c>
      <c r="B9" t="s">
        <v>356</v>
      </c>
      <c r="C9" t="s">
        <v>18</v>
      </c>
      <c r="D9">
        <v>3</v>
      </c>
      <c r="E9">
        <v>178</v>
      </c>
      <c r="F9">
        <v>534</v>
      </c>
      <c r="G9" t="s">
        <v>19</v>
      </c>
      <c r="H9">
        <v>2025</v>
      </c>
      <c r="I9" t="s">
        <v>1362</v>
      </c>
      <c r="J9" t="s">
        <v>1363</v>
      </c>
    </row>
    <row r="10" spans="1:13" x14ac:dyDescent="0.3">
      <c r="A10" s="21">
        <v>45875</v>
      </c>
      <c r="B10" t="s">
        <v>1203</v>
      </c>
      <c r="C10" t="s">
        <v>18</v>
      </c>
      <c r="D10">
        <v>3</v>
      </c>
      <c r="E10">
        <v>468</v>
      </c>
      <c r="F10">
        <v>1404</v>
      </c>
      <c r="G10" t="s">
        <v>27</v>
      </c>
      <c r="H10">
        <v>2025</v>
      </c>
      <c r="I10" t="s">
        <v>1362</v>
      </c>
      <c r="J10" t="s">
        <v>1358</v>
      </c>
    </row>
    <row r="11" spans="1:13" x14ac:dyDescent="0.3">
      <c r="A11" s="21">
        <v>45902</v>
      </c>
      <c r="B11" t="s">
        <v>722</v>
      </c>
      <c r="C11" t="s">
        <v>79</v>
      </c>
      <c r="D11">
        <v>3</v>
      </c>
      <c r="E11">
        <v>647</v>
      </c>
      <c r="F11">
        <v>1941</v>
      </c>
      <c r="G11" t="s">
        <v>15</v>
      </c>
      <c r="H11">
        <v>2025</v>
      </c>
      <c r="I11" t="s">
        <v>1364</v>
      </c>
      <c r="J11" t="s">
        <v>1353</v>
      </c>
    </row>
    <row r="12" spans="1:13" x14ac:dyDescent="0.3">
      <c r="A12" s="21">
        <v>45911</v>
      </c>
      <c r="B12" t="s">
        <v>787</v>
      </c>
      <c r="C12" t="s">
        <v>10</v>
      </c>
      <c r="D12">
        <v>3</v>
      </c>
      <c r="E12">
        <v>992</v>
      </c>
      <c r="F12">
        <v>2976</v>
      </c>
      <c r="G12" t="s">
        <v>7</v>
      </c>
      <c r="H12">
        <v>2025</v>
      </c>
      <c r="I12" t="s">
        <v>1364</v>
      </c>
      <c r="J12" t="s">
        <v>1356</v>
      </c>
    </row>
    <row r="13" spans="1:13" x14ac:dyDescent="0.3">
      <c r="A13" s="21">
        <v>45924</v>
      </c>
      <c r="B13" t="s">
        <v>1115</v>
      </c>
      <c r="C13" t="s">
        <v>30</v>
      </c>
      <c r="D13">
        <v>3</v>
      </c>
      <c r="E13">
        <v>895</v>
      </c>
      <c r="F13">
        <v>2685</v>
      </c>
      <c r="G13" t="s">
        <v>33</v>
      </c>
      <c r="H13">
        <v>2025</v>
      </c>
      <c r="I13" t="s">
        <v>1364</v>
      </c>
      <c r="J13" t="s">
        <v>1358</v>
      </c>
    </row>
    <row r="14" spans="1:13" x14ac:dyDescent="0.3">
      <c r="A14" s="21">
        <v>45954</v>
      </c>
      <c r="B14" t="s">
        <v>927</v>
      </c>
      <c r="C14" t="s">
        <v>79</v>
      </c>
      <c r="D14">
        <v>3</v>
      </c>
      <c r="E14">
        <v>211</v>
      </c>
      <c r="F14">
        <v>633</v>
      </c>
      <c r="G14" t="s">
        <v>15</v>
      </c>
      <c r="H14">
        <v>2025</v>
      </c>
      <c r="I14" t="s">
        <v>1365</v>
      </c>
      <c r="J14" t="s">
        <v>1366</v>
      </c>
    </row>
    <row r="15" spans="1:13" x14ac:dyDescent="0.3">
      <c r="A15" s="21">
        <v>45956</v>
      </c>
      <c r="B15" t="s">
        <v>700</v>
      </c>
      <c r="C15" t="s">
        <v>6</v>
      </c>
      <c r="D15">
        <v>3</v>
      </c>
      <c r="E15">
        <v>356</v>
      </c>
      <c r="F15">
        <v>1068</v>
      </c>
      <c r="G15" t="s">
        <v>11</v>
      </c>
      <c r="H15">
        <v>2025</v>
      </c>
      <c r="I15" t="s">
        <v>1365</v>
      </c>
      <c r="J15" t="s">
        <v>1361</v>
      </c>
    </row>
    <row r="16" spans="1:13" x14ac:dyDescent="0.3">
      <c r="A16" s="21">
        <v>45970</v>
      </c>
      <c r="B16" t="s">
        <v>822</v>
      </c>
      <c r="C16" t="s">
        <v>65</v>
      </c>
      <c r="D16">
        <v>3</v>
      </c>
      <c r="E16">
        <v>788</v>
      </c>
      <c r="F16">
        <v>2364</v>
      </c>
      <c r="G16" t="s">
        <v>19</v>
      </c>
      <c r="H16">
        <v>2025</v>
      </c>
      <c r="I16" t="s">
        <v>1357</v>
      </c>
      <c r="J16" t="s">
        <v>1361</v>
      </c>
    </row>
    <row r="17" spans="1:10" x14ac:dyDescent="0.3">
      <c r="A17" s="21">
        <v>45987</v>
      </c>
      <c r="B17" t="s">
        <v>756</v>
      </c>
      <c r="C17" t="s">
        <v>14</v>
      </c>
      <c r="D17">
        <v>3</v>
      </c>
      <c r="E17">
        <v>684</v>
      </c>
      <c r="F17">
        <v>2052</v>
      </c>
      <c r="G17" t="s">
        <v>33</v>
      </c>
      <c r="H17">
        <v>2025</v>
      </c>
      <c r="I17" t="s">
        <v>1357</v>
      </c>
      <c r="J17" t="s">
        <v>1358</v>
      </c>
    </row>
    <row r="18" spans="1:10" x14ac:dyDescent="0.3">
      <c r="A18" s="21">
        <v>45667</v>
      </c>
      <c r="B18" t="s">
        <v>680</v>
      </c>
      <c r="C18" t="s">
        <v>6</v>
      </c>
      <c r="D18">
        <v>1</v>
      </c>
      <c r="E18">
        <v>1882</v>
      </c>
      <c r="F18">
        <v>1882</v>
      </c>
      <c r="G18" t="s">
        <v>19</v>
      </c>
      <c r="H18">
        <v>2025</v>
      </c>
      <c r="I18" t="s">
        <v>1367</v>
      </c>
      <c r="J18" t="s">
        <v>1366</v>
      </c>
    </row>
    <row r="19" spans="1:10" x14ac:dyDescent="0.3">
      <c r="A19" s="21">
        <v>45679</v>
      </c>
      <c r="B19" t="s">
        <v>212</v>
      </c>
      <c r="C19" t="s">
        <v>68</v>
      </c>
      <c r="D19">
        <v>2</v>
      </c>
      <c r="E19">
        <v>941</v>
      </c>
      <c r="F19">
        <v>1882</v>
      </c>
      <c r="G19" t="s">
        <v>19</v>
      </c>
      <c r="H19">
        <v>2025</v>
      </c>
      <c r="I19" t="s">
        <v>1367</v>
      </c>
      <c r="J19" t="s">
        <v>1358</v>
      </c>
    </row>
    <row r="20" spans="1:10" x14ac:dyDescent="0.3">
      <c r="A20" s="21">
        <v>45685</v>
      </c>
      <c r="B20" t="s">
        <v>857</v>
      </c>
      <c r="C20" t="s">
        <v>30</v>
      </c>
      <c r="D20">
        <v>4</v>
      </c>
      <c r="E20">
        <v>470</v>
      </c>
      <c r="F20">
        <v>1882</v>
      </c>
      <c r="G20" t="s">
        <v>27</v>
      </c>
      <c r="H20">
        <v>2025</v>
      </c>
      <c r="I20" t="s">
        <v>1367</v>
      </c>
      <c r="J20" t="s">
        <v>1353</v>
      </c>
    </row>
    <row r="21" spans="1:10" x14ac:dyDescent="0.3">
      <c r="A21" s="21">
        <v>45691</v>
      </c>
      <c r="B21" t="s">
        <v>697</v>
      </c>
      <c r="C21" t="s">
        <v>68</v>
      </c>
      <c r="D21">
        <v>5</v>
      </c>
      <c r="E21">
        <v>376</v>
      </c>
      <c r="F21">
        <v>1882</v>
      </c>
      <c r="G21" t="s">
        <v>7</v>
      </c>
      <c r="H21">
        <v>2025</v>
      </c>
      <c r="I21" t="s">
        <v>1352</v>
      </c>
      <c r="J21" t="s">
        <v>1363</v>
      </c>
    </row>
    <row r="22" spans="1:10" x14ac:dyDescent="0.3">
      <c r="A22" s="21">
        <v>45760</v>
      </c>
      <c r="B22" t="s">
        <v>905</v>
      </c>
      <c r="C22" t="s">
        <v>65</v>
      </c>
      <c r="D22">
        <v>4</v>
      </c>
      <c r="E22">
        <v>470</v>
      </c>
      <c r="F22">
        <v>1882</v>
      </c>
      <c r="G22" t="s">
        <v>11</v>
      </c>
      <c r="H22">
        <v>2025</v>
      </c>
      <c r="I22" t="s">
        <v>1355</v>
      </c>
      <c r="J22" t="s">
        <v>1361</v>
      </c>
    </row>
    <row r="23" spans="1:10" x14ac:dyDescent="0.3">
      <c r="A23" s="21">
        <v>45783</v>
      </c>
      <c r="B23" t="s">
        <v>107</v>
      </c>
      <c r="C23" t="s">
        <v>30</v>
      </c>
      <c r="D23">
        <v>4</v>
      </c>
      <c r="E23">
        <v>470</v>
      </c>
      <c r="F23">
        <v>1882</v>
      </c>
      <c r="G23" t="s">
        <v>27</v>
      </c>
      <c r="H23">
        <v>2025</v>
      </c>
      <c r="I23" t="s">
        <v>1368</v>
      </c>
      <c r="J23" t="s">
        <v>1353</v>
      </c>
    </row>
    <row r="24" spans="1:10" x14ac:dyDescent="0.3">
      <c r="A24" s="21">
        <v>45823</v>
      </c>
      <c r="B24" t="s">
        <v>143</v>
      </c>
      <c r="C24" t="s">
        <v>65</v>
      </c>
      <c r="D24">
        <v>4</v>
      </c>
      <c r="E24">
        <v>470</v>
      </c>
      <c r="F24">
        <v>1882</v>
      </c>
      <c r="G24" t="s">
        <v>33</v>
      </c>
      <c r="H24">
        <v>2025</v>
      </c>
      <c r="I24" t="s">
        <v>1369</v>
      </c>
      <c r="J24" t="s">
        <v>1361</v>
      </c>
    </row>
    <row r="25" spans="1:10" x14ac:dyDescent="0.3">
      <c r="A25" s="21">
        <v>45860</v>
      </c>
      <c r="B25" t="s">
        <v>648</v>
      </c>
      <c r="C25" t="s">
        <v>10</v>
      </c>
      <c r="D25">
        <v>6</v>
      </c>
      <c r="E25">
        <v>314</v>
      </c>
      <c r="F25">
        <v>1882</v>
      </c>
      <c r="G25" t="s">
        <v>11</v>
      </c>
      <c r="H25">
        <v>2025</v>
      </c>
      <c r="I25" t="s">
        <v>1360</v>
      </c>
      <c r="J25" t="s">
        <v>1353</v>
      </c>
    </row>
    <row r="26" spans="1:10" x14ac:dyDescent="0.3">
      <c r="A26" s="21">
        <v>45884</v>
      </c>
      <c r="B26" t="s">
        <v>358</v>
      </c>
      <c r="C26" t="s">
        <v>6</v>
      </c>
      <c r="D26">
        <v>3</v>
      </c>
      <c r="E26">
        <v>627</v>
      </c>
      <c r="F26">
        <v>1882</v>
      </c>
      <c r="G26" t="s">
        <v>15</v>
      </c>
      <c r="H26">
        <v>2025</v>
      </c>
      <c r="I26" t="s">
        <v>1362</v>
      </c>
      <c r="J26" t="s">
        <v>1366</v>
      </c>
    </row>
    <row r="27" spans="1:10" x14ac:dyDescent="0.3">
      <c r="A27" s="21">
        <v>45914</v>
      </c>
      <c r="B27" t="s">
        <v>898</v>
      </c>
      <c r="C27" t="s">
        <v>10</v>
      </c>
      <c r="D27">
        <v>4</v>
      </c>
      <c r="E27">
        <v>470</v>
      </c>
      <c r="F27">
        <v>1882</v>
      </c>
      <c r="G27" t="s">
        <v>11</v>
      </c>
      <c r="H27">
        <v>2025</v>
      </c>
      <c r="I27" t="s">
        <v>1364</v>
      </c>
      <c r="J27" t="s">
        <v>1361</v>
      </c>
    </row>
    <row r="28" spans="1:10" x14ac:dyDescent="0.3">
      <c r="A28" s="21">
        <v>45937</v>
      </c>
      <c r="B28" t="s">
        <v>225</v>
      </c>
      <c r="C28" t="s">
        <v>30</v>
      </c>
      <c r="D28">
        <v>2</v>
      </c>
      <c r="E28">
        <v>941</v>
      </c>
      <c r="F28">
        <v>1882</v>
      </c>
      <c r="G28" t="s">
        <v>7</v>
      </c>
      <c r="H28">
        <v>2025</v>
      </c>
      <c r="I28" t="s">
        <v>1365</v>
      </c>
      <c r="J28" t="s">
        <v>1353</v>
      </c>
    </row>
    <row r="29" spans="1:10" x14ac:dyDescent="0.3">
      <c r="A29" s="21">
        <v>45947</v>
      </c>
      <c r="B29" t="s">
        <v>835</v>
      </c>
      <c r="C29" t="s">
        <v>30</v>
      </c>
      <c r="D29">
        <v>2</v>
      </c>
      <c r="E29">
        <v>941</v>
      </c>
      <c r="F29">
        <v>1882</v>
      </c>
      <c r="G29" t="s">
        <v>15</v>
      </c>
      <c r="H29">
        <v>2025</v>
      </c>
      <c r="I29" t="s">
        <v>1365</v>
      </c>
      <c r="J29" t="s">
        <v>1366</v>
      </c>
    </row>
    <row r="30" spans="1:10" x14ac:dyDescent="0.3">
      <c r="A30" s="21">
        <v>45976</v>
      </c>
      <c r="B30" t="s">
        <v>1182</v>
      </c>
      <c r="C30" t="s">
        <v>30</v>
      </c>
      <c r="D30">
        <v>4</v>
      </c>
      <c r="E30">
        <v>470</v>
      </c>
      <c r="F30">
        <v>1882</v>
      </c>
      <c r="G30" t="s">
        <v>11</v>
      </c>
      <c r="H30">
        <v>2025</v>
      </c>
      <c r="I30" t="s">
        <v>1357</v>
      </c>
      <c r="J30" t="s">
        <v>1359</v>
      </c>
    </row>
    <row r="31" spans="1:10" x14ac:dyDescent="0.3">
      <c r="A31" s="21">
        <v>45978</v>
      </c>
      <c r="B31" t="s">
        <v>182</v>
      </c>
      <c r="C31" t="s">
        <v>79</v>
      </c>
      <c r="D31">
        <v>2</v>
      </c>
      <c r="E31">
        <v>941</v>
      </c>
      <c r="F31">
        <v>1882</v>
      </c>
      <c r="G31" t="s">
        <v>7</v>
      </c>
      <c r="H31">
        <v>2025</v>
      </c>
      <c r="I31" t="s">
        <v>1357</v>
      </c>
      <c r="J31" t="s">
        <v>1363</v>
      </c>
    </row>
    <row r="32" spans="1:10" x14ac:dyDescent="0.3">
      <c r="A32" s="21">
        <v>46021</v>
      </c>
      <c r="B32" t="s">
        <v>638</v>
      </c>
      <c r="C32" t="s">
        <v>30</v>
      </c>
      <c r="D32">
        <v>4</v>
      </c>
      <c r="E32">
        <v>470</v>
      </c>
      <c r="F32">
        <v>1882</v>
      </c>
      <c r="G32" t="s">
        <v>33</v>
      </c>
      <c r="H32">
        <v>2025</v>
      </c>
      <c r="I32" t="s">
        <v>1370</v>
      </c>
      <c r="J32" t="s">
        <v>1353</v>
      </c>
    </row>
    <row r="33" spans="1:10" x14ac:dyDescent="0.3">
      <c r="A33" s="21">
        <v>45669</v>
      </c>
      <c r="B33" t="s">
        <v>1112</v>
      </c>
      <c r="C33" t="s">
        <v>24</v>
      </c>
      <c r="D33">
        <v>3</v>
      </c>
      <c r="E33">
        <v>1000</v>
      </c>
      <c r="F33">
        <v>3000</v>
      </c>
      <c r="G33" t="s">
        <v>19</v>
      </c>
      <c r="H33">
        <v>2025</v>
      </c>
      <c r="I33" t="s">
        <v>1367</v>
      </c>
      <c r="J33" t="s">
        <v>1361</v>
      </c>
    </row>
    <row r="34" spans="1:10" x14ac:dyDescent="0.3">
      <c r="A34" s="21">
        <v>45688</v>
      </c>
      <c r="B34" t="s">
        <v>440</v>
      </c>
      <c r="C34" t="s">
        <v>6</v>
      </c>
      <c r="D34">
        <v>3</v>
      </c>
      <c r="E34">
        <v>892</v>
      </c>
      <c r="F34">
        <v>2676</v>
      </c>
      <c r="G34" t="s">
        <v>19</v>
      </c>
      <c r="H34">
        <v>2025</v>
      </c>
      <c r="I34" t="s">
        <v>1367</v>
      </c>
      <c r="J34" t="s">
        <v>1366</v>
      </c>
    </row>
    <row r="35" spans="1:10" x14ac:dyDescent="0.3">
      <c r="A35" s="21">
        <v>45756</v>
      </c>
      <c r="B35" t="s">
        <v>450</v>
      </c>
      <c r="C35" t="s">
        <v>18</v>
      </c>
      <c r="D35">
        <v>3</v>
      </c>
      <c r="E35">
        <v>1193</v>
      </c>
      <c r="F35">
        <v>3580</v>
      </c>
      <c r="G35" t="s">
        <v>15</v>
      </c>
      <c r="H35">
        <v>2025</v>
      </c>
      <c r="I35" t="s">
        <v>1355</v>
      </c>
      <c r="J35" t="s">
        <v>1358</v>
      </c>
    </row>
    <row r="36" spans="1:10" x14ac:dyDescent="0.3">
      <c r="A36" s="21">
        <v>45776</v>
      </c>
      <c r="B36" t="s">
        <v>515</v>
      </c>
      <c r="C36" t="s">
        <v>68</v>
      </c>
      <c r="D36">
        <v>3</v>
      </c>
      <c r="E36">
        <v>1602</v>
      </c>
      <c r="F36">
        <v>4806</v>
      </c>
      <c r="G36" t="s">
        <v>19</v>
      </c>
      <c r="H36">
        <v>2025</v>
      </c>
      <c r="I36" t="s">
        <v>1355</v>
      </c>
      <c r="J36" t="s">
        <v>1353</v>
      </c>
    </row>
    <row r="37" spans="1:10" x14ac:dyDescent="0.3">
      <c r="A37" s="21">
        <v>45788</v>
      </c>
      <c r="B37" t="s">
        <v>488</v>
      </c>
      <c r="C37" t="s">
        <v>10</v>
      </c>
      <c r="D37">
        <v>3</v>
      </c>
      <c r="E37">
        <v>620</v>
      </c>
      <c r="F37">
        <v>1860</v>
      </c>
      <c r="G37" t="s">
        <v>19</v>
      </c>
      <c r="H37">
        <v>2025</v>
      </c>
      <c r="I37" t="s">
        <v>1368</v>
      </c>
      <c r="J37" t="s">
        <v>1361</v>
      </c>
    </row>
    <row r="38" spans="1:10" x14ac:dyDescent="0.3">
      <c r="A38" s="21">
        <v>45804</v>
      </c>
      <c r="B38" t="s">
        <v>471</v>
      </c>
      <c r="C38" t="s">
        <v>18</v>
      </c>
      <c r="D38">
        <v>3</v>
      </c>
      <c r="E38">
        <v>162</v>
      </c>
      <c r="F38">
        <v>486</v>
      </c>
      <c r="G38" t="s">
        <v>33</v>
      </c>
      <c r="H38">
        <v>2025</v>
      </c>
      <c r="I38" t="s">
        <v>1368</v>
      </c>
      <c r="J38" t="s">
        <v>1353</v>
      </c>
    </row>
    <row r="39" spans="1:10" x14ac:dyDescent="0.3">
      <c r="A39" s="21">
        <v>45829</v>
      </c>
      <c r="B39" t="s">
        <v>1260</v>
      </c>
      <c r="C39" t="s">
        <v>38</v>
      </c>
      <c r="D39">
        <v>3</v>
      </c>
      <c r="E39">
        <v>332</v>
      </c>
      <c r="F39">
        <v>996</v>
      </c>
      <c r="G39" t="s">
        <v>7</v>
      </c>
      <c r="H39">
        <v>2025</v>
      </c>
      <c r="I39" t="s">
        <v>1369</v>
      </c>
      <c r="J39" t="s">
        <v>1359</v>
      </c>
    </row>
    <row r="40" spans="1:10" x14ac:dyDescent="0.3">
      <c r="A40" s="21">
        <v>45864</v>
      </c>
      <c r="B40" t="s">
        <v>300</v>
      </c>
      <c r="C40" t="s">
        <v>10</v>
      </c>
      <c r="D40">
        <v>3</v>
      </c>
      <c r="E40">
        <v>558</v>
      </c>
      <c r="F40">
        <v>1674</v>
      </c>
      <c r="G40" t="s">
        <v>11</v>
      </c>
      <c r="H40">
        <v>2025</v>
      </c>
      <c r="I40" t="s">
        <v>1360</v>
      </c>
      <c r="J40" t="s">
        <v>1359</v>
      </c>
    </row>
    <row r="41" spans="1:10" x14ac:dyDescent="0.3">
      <c r="A41" s="21">
        <v>45877</v>
      </c>
      <c r="B41" t="s">
        <v>1022</v>
      </c>
      <c r="C41" t="s">
        <v>68</v>
      </c>
      <c r="D41">
        <v>3</v>
      </c>
      <c r="E41">
        <v>469</v>
      </c>
      <c r="F41">
        <v>1408</v>
      </c>
      <c r="G41" t="s">
        <v>33</v>
      </c>
      <c r="H41">
        <v>2025</v>
      </c>
      <c r="I41" t="s">
        <v>1362</v>
      </c>
      <c r="J41" t="s">
        <v>1366</v>
      </c>
    </row>
    <row r="42" spans="1:10" x14ac:dyDescent="0.3">
      <c r="A42" s="21">
        <v>45900</v>
      </c>
      <c r="B42" t="s">
        <v>1079</v>
      </c>
      <c r="C42" t="s">
        <v>30</v>
      </c>
      <c r="D42">
        <v>3</v>
      </c>
      <c r="E42">
        <v>752</v>
      </c>
      <c r="F42">
        <v>2256</v>
      </c>
      <c r="G42" t="s">
        <v>15</v>
      </c>
      <c r="H42">
        <v>2025</v>
      </c>
      <c r="I42" t="s">
        <v>1362</v>
      </c>
      <c r="J42" t="s">
        <v>1361</v>
      </c>
    </row>
    <row r="43" spans="1:10" x14ac:dyDescent="0.3">
      <c r="A43" s="21">
        <v>45907</v>
      </c>
      <c r="B43" t="s">
        <v>161</v>
      </c>
      <c r="C43" t="s">
        <v>18</v>
      </c>
      <c r="D43">
        <v>3</v>
      </c>
      <c r="E43">
        <v>582</v>
      </c>
      <c r="F43">
        <v>1746</v>
      </c>
      <c r="G43" t="s">
        <v>11</v>
      </c>
      <c r="H43">
        <v>2025</v>
      </c>
      <c r="I43" t="s">
        <v>1364</v>
      </c>
      <c r="J43" t="s">
        <v>1361</v>
      </c>
    </row>
    <row r="44" spans="1:10" x14ac:dyDescent="0.3">
      <c r="A44" s="21">
        <v>45929</v>
      </c>
      <c r="B44" t="s">
        <v>591</v>
      </c>
      <c r="C44" t="s">
        <v>10</v>
      </c>
      <c r="D44">
        <v>3</v>
      </c>
      <c r="E44">
        <v>185</v>
      </c>
      <c r="F44">
        <v>556</v>
      </c>
      <c r="G44" t="s">
        <v>11</v>
      </c>
      <c r="H44">
        <v>2025</v>
      </c>
      <c r="I44" t="s">
        <v>1364</v>
      </c>
      <c r="J44" t="s">
        <v>1363</v>
      </c>
    </row>
    <row r="45" spans="1:10" x14ac:dyDescent="0.3">
      <c r="A45" s="21">
        <v>46013</v>
      </c>
      <c r="B45" t="s">
        <v>1322</v>
      </c>
      <c r="C45" t="s">
        <v>18</v>
      </c>
      <c r="D45">
        <v>3</v>
      </c>
      <c r="E45">
        <v>595</v>
      </c>
      <c r="F45">
        <v>1785</v>
      </c>
      <c r="G45" t="s">
        <v>19</v>
      </c>
      <c r="H45">
        <v>2025</v>
      </c>
      <c r="I45" t="s">
        <v>1370</v>
      </c>
      <c r="J45" t="s">
        <v>1363</v>
      </c>
    </row>
    <row r="46" spans="1:10" x14ac:dyDescent="0.3">
      <c r="A46" s="21">
        <v>45658</v>
      </c>
      <c r="B46" t="s">
        <v>502</v>
      </c>
      <c r="C46" t="s">
        <v>18</v>
      </c>
      <c r="D46">
        <v>4</v>
      </c>
      <c r="E46">
        <v>258</v>
      </c>
      <c r="F46">
        <v>1032</v>
      </c>
      <c r="G46" t="s">
        <v>7</v>
      </c>
      <c r="H46">
        <v>2025</v>
      </c>
      <c r="I46" t="s">
        <v>1367</v>
      </c>
      <c r="J46" t="s">
        <v>1358</v>
      </c>
    </row>
    <row r="47" spans="1:10" x14ac:dyDescent="0.3">
      <c r="A47" s="21">
        <v>45659</v>
      </c>
      <c r="B47" t="s">
        <v>1222</v>
      </c>
      <c r="C47" t="s">
        <v>14</v>
      </c>
      <c r="D47">
        <v>3</v>
      </c>
      <c r="E47">
        <v>132</v>
      </c>
      <c r="F47">
        <v>396</v>
      </c>
      <c r="G47" t="s">
        <v>33</v>
      </c>
      <c r="H47">
        <v>2025</v>
      </c>
      <c r="I47" t="s">
        <v>1367</v>
      </c>
      <c r="J47" t="s">
        <v>1356</v>
      </c>
    </row>
    <row r="48" spans="1:10" x14ac:dyDescent="0.3">
      <c r="A48" s="21">
        <v>45659</v>
      </c>
      <c r="B48" t="s">
        <v>804</v>
      </c>
      <c r="C48" t="s">
        <v>38</v>
      </c>
      <c r="D48">
        <v>3</v>
      </c>
      <c r="E48">
        <v>728</v>
      </c>
      <c r="F48">
        <v>2184</v>
      </c>
      <c r="G48" t="s">
        <v>11</v>
      </c>
      <c r="H48">
        <v>2025</v>
      </c>
      <c r="I48" t="s">
        <v>1367</v>
      </c>
      <c r="J48" t="s">
        <v>1356</v>
      </c>
    </row>
    <row r="49" spans="1:10" x14ac:dyDescent="0.3">
      <c r="A49" s="21">
        <v>45660</v>
      </c>
      <c r="B49" t="s">
        <v>80</v>
      </c>
      <c r="C49" t="s">
        <v>14</v>
      </c>
      <c r="D49">
        <v>6</v>
      </c>
      <c r="E49">
        <v>756</v>
      </c>
      <c r="F49">
        <v>4536</v>
      </c>
      <c r="G49" t="s">
        <v>33</v>
      </c>
      <c r="H49">
        <v>2025</v>
      </c>
      <c r="I49" t="s">
        <v>1367</v>
      </c>
      <c r="J49" t="s">
        <v>1366</v>
      </c>
    </row>
    <row r="50" spans="1:10" x14ac:dyDescent="0.3">
      <c r="A50" s="21">
        <v>45661</v>
      </c>
      <c r="B50" t="s">
        <v>580</v>
      </c>
      <c r="C50" t="s">
        <v>14</v>
      </c>
      <c r="D50">
        <v>4</v>
      </c>
      <c r="E50">
        <v>567</v>
      </c>
      <c r="F50">
        <v>2268</v>
      </c>
      <c r="G50" t="s">
        <v>19</v>
      </c>
      <c r="H50">
        <v>2025</v>
      </c>
      <c r="I50" t="s">
        <v>1367</v>
      </c>
      <c r="J50" t="s">
        <v>1359</v>
      </c>
    </row>
    <row r="51" spans="1:10" x14ac:dyDescent="0.3">
      <c r="A51" s="21">
        <v>45662</v>
      </c>
      <c r="B51" t="s">
        <v>984</v>
      </c>
      <c r="C51" t="s">
        <v>18</v>
      </c>
      <c r="D51">
        <v>1</v>
      </c>
      <c r="E51">
        <v>667</v>
      </c>
      <c r="F51">
        <v>667</v>
      </c>
      <c r="G51" t="s">
        <v>19</v>
      </c>
      <c r="H51">
        <v>2025</v>
      </c>
      <c r="I51" t="s">
        <v>1367</v>
      </c>
      <c r="J51" t="s">
        <v>1361</v>
      </c>
    </row>
    <row r="52" spans="1:10" x14ac:dyDescent="0.3">
      <c r="A52" s="21">
        <v>45666</v>
      </c>
      <c r="B52" t="s">
        <v>1159</v>
      </c>
      <c r="C52" t="s">
        <v>30</v>
      </c>
      <c r="D52">
        <v>2</v>
      </c>
      <c r="E52">
        <v>572</v>
      </c>
      <c r="F52">
        <v>1144</v>
      </c>
      <c r="G52" t="s">
        <v>11</v>
      </c>
      <c r="H52">
        <v>2025</v>
      </c>
      <c r="I52" t="s">
        <v>1367</v>
      </c>
      <c r="J52" t="s">
        <v>1356</v>
      </c>
    </row>
    <row r="53" spans="1:10" x14ac:dyDescent="0.3">
      <c r="A53" s="21">
        <v>45666</v>
      </c>
      <c r="B53" t="s">
        <v>1120</v>
      </c>
      <c r="C53" t="s">
        <v>10</v>
      </c>
      <c r="D53">
        <v>4</v>
      </c>
      <c r="E53">
        <v>746</v>
      </c>
      <c r="F53">
        <v>2984</v>
      </c>
      <c r="G53" t="s">
        <v>11</v>
      </c>
      <c r="H53">
        <v>2025</v>
      </c>
      <c r="I53" t="s">
        <v>1367</v>
      </c>
      <c r="J53" t="s">
        <v>1356</v>
      </c>
    </row>
    <row r="54" spans="1:10" x14ac:dyDescent="0.3">
      <c r="A54" s="21">
        <v>45667</v>
      </c>
      <c r="B54" t="s">
        <v>586</v>
      </c>
      <c r="C54" t="s">
        <v>14</v>
      </c>
      <c r="D54">
        <v>4</v>
      </c>
      <c r="E54">
        <v>411</v>
      </c>
      <c r="F54">
        <v>1644</v>
      </c>
      <c r="G54" t="s">
        <v>11</v>
      </c>
      <c r="H54">
        <v>2025</v>
      </c>
      <c r="I54" t="s">
        <v>1367</v>
      </c>
      <c r="J54" t="s">
        <v>1366</v>
      </c>
    </row>
    <row r="55" spans="1:10" x14ac:dyDescent="0.3">
      <c r="A55" s="21">
        <v>45669</v>
      </c>
      <c r="B55" t="s">
        <v>978</v>
      </c>
      <c r="C55" t="s">
        <v>38</v>
      </c>
      <c r="D55">
        <v>1</v>
      </c>
      <c r="E55">
        <v>947</v>
      </c>
      <c r="F55">
        <v>947</v>
      </c>
      <c r="G55" t="s">
        <v>27</v>
      </c>
      <c r="H55">
        <v>2025</v>
      </c>
      <c r="I55" t="s">
        <v>1367</v>
      </c>
      <c r="J55" t="s">
        <v>1361</v>
      </c>
    </row>
    <row r="56" spans="1:10" x14ac:dyDescent="0.3">
      <c r="A56" s="21">
        <v>45669</v>
      </c>
      <c r="B56" t="s">
        <v>992</v>
      </c>
      <c r="C56" t="s">
        <v>10</v>
      </c>
      <c r="D56">
        <v>5</v>
      </c>
      <c r="E56">
        <v>606</v>
      </c>
      <c r="F56">
        <v>3030</v>
      </c>
      <c r="G56" t="s">
        <v>11</v>
      </c>
      <c r="H56">
        <v>2025</v>
      </c>
      <c r="I56" t="s">
        <v>1367</v>
      </c>
      <c r="J56" t="s">
        <v>1361</v>
      </c>
    </row>
    <row r="57" spans="1:10" x14ac:dyDescent="0.3">
      <c r="A57" s="21">
        <v>45670</v>
      </c>
      <c r="B57" t="s">
        <v>340</v>
      </c>
      <c r="C57" t="s">
        <v>18</v>
      </c>
      <c r="D57">
        <v>1</v>
      </c>
      <c r="E57">
        <v>786</v>
      </c>
      <c r="F57">
        <v>786</v>
      </c>
      <c r="G57" t="s">
        <v>33</v>
      </c>
      <c r="H57">
        <v>2025</v>
      </c>
      <c r="I57" t="s">
        <v>1367</v>
      </c>
      <c r="J57" t="s">
        <v>1363</v>
      </c>
    </row>
    <row r="58" spans="1:10" x14ac:dyDescent="0.3">
      <c r="A58" s="21">
        <v>45670</v>
      </c>
      <c r="B58" t="s">
        <v>1263</v>
      </c>
      <c r="C58" t="s">
        <v>6</v>
      </c>
      <c r="D58">
        <v>4</v>
      </c>
      <c r="E58">
        <v>792</v>
      </c>
      <c r="F58">
        <v>3168</v>
      </c>
      <c r="G58" t="s">
        <v>15</v>
      </c>
      <c r="H58">
        <v>2025</v>
      </c>
      <c r="I58" t="s">
        <v>1367</v>
      </c>
      <c r="J58" t="s">
        <v>1363</v>
      </c>
    </row>
    <row r="59" spans="1:10" x14ac:dyDescent="0.3">
      <c r="A59" s="21">
        <v>45671</v>
      </c>
      <c r="B59" t="s">
        <v>998</v>
      </c>
      <c r="C59" t="s">
        <v>6</v>
      </c>
      <c r="D59">
        <v>5</v>
      </c>
      <c r="E59">
        <v>187</v>
      </c>
      <c r="F59">
        <v>935</v>
      </c>
      <c r="G59" t="s">
        <v>27</v>
      </c>
      <c r="H59">
        <v>2025</v>
      </c>
      <c r="I59" t="s">
        <v>1367</v>
      </c>
      <c r="J59" t="s">
        <v>1353</v>
      </c>
    </row>
    <row r="60" spans="1:10" x14ac:dyDescent="0.3">
      <c r="A60" s="21">
        <v>45673</v>
      </c>
      <c r="B60" t="s">
        <v>1245</v>
      </c>
      <c r="C60" t="s">
        <v>10</v>
      </c>
      <c r="D60">
        <v>5</v>
      </c>
      <c r="E60">
        <v>524</v>
      </c>
      <c r="F60">
        <v>2620</v>
      </c>
      <c r="G60" t="s">
        <v>33</v>
      </c>
      <c r="H60">
        <v>2025</v>
      </c>
      <c r="I60" t="s">
        <v>1367</v>
      </c>
      <c r="J60" t="s">
        <v>1356</v>
      </c>
    </row>
    <row r="61" spans="1:10" x14ac:dyDescent="0.3">
      <c r="A61" s="21">
        <v>45674</v>
      </c>
      <c r="B61" t="s">
        <v>564</v>
      </c>
      <c r="C61" t="s">
        <v>30</v>
      </c>
      <c r="D61">
        <v>3</v>
      </c>
      <c r="E61">
        <v>560</v>
      </c>
      <c r="F61">
        <v>1680</v>
      </c>
      <c r="G61" t="s">
        <v>27</v>
      </c>
      <c r="H61">
        <v>2025</v>
      </c>
      <c r="I61" t="s">
        <v>1367</v>
      </c>
      <c r="J61" t="s">
        <v>1366</v>
      </c>
    </row>
    <row r="62" spans="1:10" x14ac:dyDescent="0.3">
      <c r="A62" s="21">
        <v>45675</v>
      </c>
      <c r="B62" t="s">
        <v>656</v>
      </c>
      <c r="C62" t="s">
        <v>24</v>
      </c>
      <c r="D62">
        <v>2</v>
      </c>
      <c r="E62">
        <v>424</v>
      </c>
      <c r="F62">
        <v>848</v>
      </c>
      <c r="G62" t="s">
        <v>7</v>
      </c>
      <c r="H62">
        <v>2025</v>
      </c>
      <c r="I62" t="s">
        <v>1367</v>
      </c>
      <c r="J62" t="s">
        <v>1359</v>
      </c>
    </row>
    <row r="63" spans="1:10" x14ac:dyDescent="0.3">
      <c r="A63" s="21">
        <v>45676</v>
      </c>
      <c r="B63" t="s">
        <v>936</v>
      </c>
      <c r="C63" t="s">
        <v>14</v>
      </c>
      <c r="D63">
        <v>5</v>
      </c>
      <c r="E63">
        <v>254</v>
      </c>
      <c r="F63">
        <v>1270</v>
      </c>
      <c r="G63" t="s">
        <v>19</v>
      </c>
      <c r="H63">
        <v>2025</v>
      </c>
      <c r="I63" t="s">
        <v>1367</v>
      </c>
      <c r="J63" t="s">
        <v>1361</v>
      </c>
    </row>
    <row r="64" spans="1:10" x14ac:dyDescent="0.3">
      <c r="A64" s="21">
        <v>45677</v>
      </c>
      <c r="B64" t="s">
        <v>1337</v>
      </c>
      <c r="C64" t="s">
        <v>14</v>
      </c>
      <c r="D64">
        <v>1</v>
      </c>
      <c r="E64">
        <v>98</v>
      </c>
      <c r="F64">
        <v>98</v>
      </c>
      <c r="G64" t="s">
        <v>7</v>
      </c>
      <c r="H64">
        <v>2025</v>
      </c>
      <c r="I64" t="s">
        <v>1367</v>
      </c>
      <c r="J64" t="s">
        <v>1363</v>
      </c>
    </row>
    <row r="65" spans="1:10" x14ac:dyDescent="0.3">
      <c r="A65" s="21">
        <v>45677</v>
      </c>
      <c r="B65" t="s">
        <v>1157</v>
      </c>
      <c r="C65" t="s">
        <v>10</v>
      </c>
      <c r="D65">
        <v>3</v>
      </c>
      <c r="E65">
        <v>402</v>
      </c>
      <c r="F65">
        <v>1206</v>
      </c>
      <c r="G65" t="s">
        <v>33</v>
      </c>
      <c r="H65">
        <v>2025</v>
      </c>
      <c r="I65" t="s">
        <v>1367</v>
      </c>
      <c r="J65" t="s">
        <v>1363</v>
      </c>
    </row>
    <row r="66" spans="1:10" x14ac:dyDescent="0.3">
      <c r="A66" s="21">
        <v>45679</v>
      </c>
      <c r="B66" t="s">
        <v>521</v>
      </c>
      <c r="C66" t="s">
        <v>18</v>
      </c>
      <c r="D66">
        <v>2</v>
      </c>
      <c r="E66">
        <v>429</v>
      </c>
      <c r="F66">
        <v>858</v>
      </c>
      <c r="G66" t="s">
        <v>11</v>
      </c>
      <c r="H66">
        <v>2025</v>
      </c>
      <c r="I66" t="s">
        <v>1367</v>
      </c>
      <c r="J66" t="s">
        <v>1358</v>
      </c>
    </row>
    <row r="67" spans="1:10" x14ac:dyDescent="0.3">
      <c r="A67" s="21">
        <v>45681</v>
      </c>
      <c r="B67" t="s">
        <v>606</v>
      </c>
      <c r="C67" t="s">
        <v>30</v>
      </c>
      <c r="D67">
        <v>4</v>
      </c>
      <c r="E67">
        <v>160</v>
      </c>
      <c r="F67">
        <v>640</v>
      </c>
      <c r="G67" t="s">
        <v>33</v>
      </c>
      <c r="H67">
        <v>2025</v>
      </c>
      <c r="I67" t="s">
        <v>1367</v>
      </c>
      <c r="J67" t="s">
        <v>1366</v>
      </c>
    </row>
    <row r="68" spans="1:10" x14ac:dyDescent="0.3">
      <c r="A68" s="21">
        <v>45681</v>
      </c>
      <c r="B68" t="s">
        <v>674</v>
      </c>
      <c r="C68" t="s">
        <v>14</v>
      </c>
      <c r="D68">
        <v>3</v>
      </c>
      <c r="E68">
        <v>780</v>
      </c>
      <c r="F68">
        <v>2340</v>
      </c>
      <c r="G68" t="s">
        <v>11</v>
      </c>
      <c r="H68">
        <v>2025</v>
      </c>
      <c r="I68" t="s">
        <v>1367</v>
      </c>
      <c r="J68" t="s">
        <v>1366</v>
      </c>
    </row>
    <row r="69" spans="1:10" x14ac:dyDescent="0.3">
      <c r="A69" s="21">
        <v>45683</v>
      </c>
      <c r="B69" t="s">
        <v>174</v>
      </c>
      <c r="C69" t="s">
        <v>79</v>
      </c>
      <c r="D69">
        <v>6</v>
      </c>
      <c r="E69">
        <v>83</v>
      </c>
      <c r="F69">
        <v>498</v>
      </c>
      <c r="G69" t="s">
        <v>19</v>
      </c>
      <c r="H69">
        <v>2025</v>
      </c>
      <c r="I69" t="s">
        <v>1367</v>
      </c>
      <c r="J69" t="s">
        <v>1361</v>
      </c>
    </row>
    <row r="70" spans="1:10" x14ac:dyDescent="0.3">
      <c r="A70" s="21">
        <v>45684</v>
      </c>
      <c r="B70" t="s">
        <v>248</v>
      </c>
      <c r="C70" t="s">
        <v>65</v>
      </c>
      <c r="D70">
        <v>3</v>
      </c>
      <c r="E70">
        <v>188</v>
      </c>
      <c r="F70">
        <v>564</v>
      </c>
      <c r="G70" t="s">
        <v>7</v>
      </c>
      <c r="H70">
        <v>2025</v>
      </c>
      <c r="I70" t="s">
        <v>1367</v>
      </c>
      <c r="J70" t="s">
        <v>1363</v>
      </c>
    </row>
    <row r="71" spans="1:10" x14ac:dyDescent="0.3">
      <c r="A71" s="21">
        <v>45684</v>
      </c>
      <c r="B71" t="s">
        <v>1048</v>
      </c>
      <c r="C71" t="s">
        <v>30</v>
      </c>
      <c r="D71">
        <v>3</v>
      </c>
      <c r="E71">
        <v>317</v>
      </c>
      <c r="F71">
        <v>951</v>
      </c>
      <c r="G71" t="s">
        <v>27</v>
      </c>
      <c r="H71">
        <v>2025</v>
      </c>
      <c r="I71" t="s">
        <v>1367</v>
      </c>
      <c r="J71" t="s">
        <v>1363</v>
      </c>
    </row>
    <row r="72" spans="1:10" x14ac:dyDescent="0.3">
      <c r="A72" s="21">
        <v>45684</v>
      </c>
      <c r="B72" t="s">
        <v>744</v>
      </c>
      <c r="C72" t="s">
        <v>38</v>
      </c>
      <c r="D72">
        <v>5</v>
      </c>
      <c r="E72">
        <v>283</v>
      </c>
      <c r="F72">
        <v>1415</v>
      </c>
      <c r="G72" t="s">
        <v>19</v>
      </c>
      <c r="H72">
        <v>2025</v>
      </c>
      <c r="I72" t="s">
        <v>1367</v>
      </c>
      <c r="J72" t="s">
        <v>1363</v>
      </c>
    </row>
    <row r="73" spans="1:10" x14ac:dyDescent="0.3">
      <c r="A73" s="21">
        <v>45684</v>
      </c>
      <c r="B73" t="s">
        <v>298</v>
      </c>
      <c r="C73" t="s">
        <v>79</v>
      </c>
      <c r="D73">
        <v>5</v>
      </c>
      <c r="E73">
        <v>570</v>
      </c>
      <c r="F73">
        <v>2850</v>
      </c>
      <c r="G73" t="s">
        <v>11</v>
      </c>
      <c r="H73">
        <v>2025</v>
      </c>
      <c r="I73" t="s">
        <v>1367</v>
      </c>
      <c r="J73" t="s">
        <v>1363</v>
      </c>
    </row>
    <row r="74" spans="1:10" x14ac:dyDescent="0.3">
      <c r="A74" s="21">
        <v>45685</v>
      </c>
      <c r="B74" t="s">
        <v>572</v>
      </c>
      <c r="C74" t="s">
        <v>6</v>
      </c>
      <c r="D74">
        <v>5</v>
      </c>
      <c r="E74">
        <v>365</v>
      </c>
      <c r="F74">
        <v>1825</v>
      </c>
      <c r="G74" t="s">
        <v>11</v>
      </c>
      <c r="H74">
        <v>2025</v>
      </c>
      <c r="I74" t="s">
        <v>1367</v>
      </c>
      <c r="J74" t="s">
        <v>1353</v>
      </c>
    </row>
    <row r="75" spans="1:10" x14ac:dyDescent="0.3">
      <c r="A75" s="21">
        <v>45685</v>
      </c>
      <c r="B75" t="s">
        <v>987</v>
      </c>
      <c r="C75" t="s">
        <v>68</v>
      </c>
      <c r="D75">
        <v>5</v>
      </c>
      <c r="E75">
        <v>393</v>
      </c>
      <c r="F75">
        <v>1965</v>
      </c>
      <c r="G75" t="s">
        <v>27</v>
      </c>
      <c r="H75">
        <v>2025</v>
      </c>
      <c r="I75" t="s">
        <v>1367</v>
      </c>
      <c r="J75" t="s">
        <v>1353</v>
      </c>
    </row>
    <row r="76" spans="1:10" x14ac:dyDescent="0.3">
      <c r="A76" s="21">
        <v>45685</v>
      </c>
      <c r="B76" t="s">
        <v>1213</v>
      </c>
      <c r="C76" t="s">
        <v>10</v>
      </c>
      <c r="D76">
        <v>6</v>
      </c>
      <c r="E76">
        <v>433</v>
      </c>
      <c r="F76">
        <v>2598</v>
      </c>
      <c r="G76" t="s">
        <v>27</v>
      </c>
      <c r="H76">
        <v>2025</v>
      </c>
      <c r="I76" t="s">
        <v>1367</v>
      </c>
      <c r="J76" t="s">
        <v>1353</v>
      </c>
    </row>
    <row r="77" spans="1:10" x14ac:dyDescent="0.3">
      <c r="A77" s="21">
        <v>45685</v>
      </c>
      <c r="B77" t="s">
        <v>1064</v>
      </c>
      <c r="C77" t="s">
        <v>10</v>
      </c>
      <c r="D77">
        <v>6</v>
      </c>
      <c r="E77">
        <v>719</v>
      </c>
      <c r="F77">
        <v>4314</v>
      </c>
      <c r="G77" t="s">
        <v>19</v>
      </c>
      <c r="H77">
        <v>2025</v>
      </c>
      <c r="I77" t="s">
        <v>1367</v>
      </c>
      <c r="J77" t="s">
        <v>1353</v>
      </c>
    </row>
    <row r="78" spans="1:10" x14ac:dyDescent="0.3">
      <c r="A78" s="21">
        <v>45686</v>
      </c>
      <c r="B78" t="s">
        <v>1192</v>
      </c>
      <c r="C78" t="s">
        <v>10</v>
      </c>
      <c r="D78">
        <v>5</v>
      </c>
      <c r="E78">
        <v>767</v>
      </c>
      <c r="F78">
        <v>3835</v>
      </c>
      <c r="G78" t="s">
        <v>19</v>
      </c>
      <c r="H78">
        <v>2025</v>
      </c>
      <c r="I78" t="s">
        <v>1367</v>
      </c>
      <c r="J78" t="s">
        <v>1358</v>
      </c>
    </row>
    <row r="79" spans="1:10" x14ac:dyDescent="0.3">
      <c r="A79" s="21">
        <v>45687</v>
      </c>
      <c r="B79" t="s">
        <v>120</v>
      </c>
      <c r="C79" t="s">
        <v>79</v>
      </c>
      <c r="D79">
        <v>1</v>
      </c>
      <c r="E79">
        <v>704</v>
      </c>
      <c r="F79">
        <v>704</v>
      </c>
      <c r="G79" t="s">
        <v>7</v>
      </c>
      <c r="H79">
        <v>2025</v>
      </c>
      <c r="I79" t="s">
        <v>1367</v>
      </c>
      <c r="J79" t="s">
        <v>1356</v>
      </c>
    </row>
    <row r="80" spans="1:10" x14ac:dyDescent="0.3">
      <c r="A80" s="21">
        <v>45687</v>
      </c>
      <c r="B80" t="s">
        <v>1334</v>
      </c>
      <c r="C80" t="s">
        <v>38</v>
      </c>
      <c r="D80">
        <v>6</v>
      </c>
      <c r="E80">
        <v>487</v>
      </c>
      <c r="F80">
        <v>2922</v>
      </c>
      <c r="G80" t="s">
        <v>19</v>
      </c>
      <c r="H80">
        <v>2025</v>
      </c>
      <c r="I80" t="s">
        <v>1367</v>
      </c>
      <c r="J80" t="s">
        <v>1356</v>
      </c>
    </row>
    <row r="81" spans="1:10" x14ac:dyDescent="0.3">
      <c r="A81" s="21">
        <v>45689</v>
      </c>
      <c r="B81" t="s">
        <v>447</v>
      </c>
      <c r="C81" t="s">
        <v>65</v>
      </c>
      <c r="D81">
        <v>1</v>
      </c>
      <c r="E81">
        <v>627</v>
      </c>
      <c r="F81">
        <v>627</v>
      </c>
      <c r="G81" t="s">
        <v>15</v>
      </c>
      <c r="H81">
        <v>2025</v>
      </c>
      <c r="I81" t="s">
        <v>1352</v>
      </c>
      <c r="J81" t="s">
        <v>1359</v>
      </c>
    </row>
    <row r="82" spans="1:10" x14ac:dyDescent="0.3">
      <c r="A82" s="21">
        <v>45690</v>
      </c>
      <c r="B82" t="s">
        <v>1267</v>
      </c>
      <c r="C82" t="s">
        <v>65</v>
      </c>
      <c r="D82">
        <v>1</v>
      </c>
      <c r="E82">
        <v>878</v>
      </c>
      <c r="F82">
        <v>878</v>
      </c>
      <c r="G82" t="s">
        <v>33</v>
      </c>
      <c r="H82">
        <v>2025</v>
      </c>
      <c r="I82" t="s">
        <v>1352</v>
      </c>
      <c r="J82" t="s">
        <v>1361</v>
      </c>
    </row>
    <row r="83" spans="1:10" x14ac:dyDescent="0.3">
      <c r="A83" s="21">
        <v>45690</v>
      </c>
      <c r="B83" t="s">
        <v>889</v>
      </c>
      <c r="C83" t="s">
        <v>30</v>
      </c>
      <c r="D83">
        <v>5</v>
      </c>
      <c r="E83">
        <v>327</v>
      </c>
      <c r="F83">
        <v>1635</v>
      </c>
      <c r="G83" t="s">
        <v>19</v>
      </c>
      <c r="H83">
        <v>2025</v>
      </c>
      <c r="I83" t="s">
        <v>1352</v>
      </c>
      <c r="J83" t="s">
        <v>1361</v>
      </c>
    </row>
    <row r="84" spans="1:10" x14ac:dyDescent="0.3">
      <c r="A84" s="21">
        <v>45691</v>
      </c>
      <c r="B84" t="s">
        <v>1033</v>
      </c>
      <c r="C84" t="s">
        <v>68</v>
      </c>
      <c r="D84">
        <v>4</v>
      </c>
      <c r="E84">
        <v>465</v>
      </c>
      <c r="F84">
        <v>1860</v>
      </c>
      <c r="G84" t="s">
        <v>19</v>
      </c>
      <c r="H84">
        <v>2025</v>
      </c>
      <c r="I84" t="s">
        <v>1352</v>
      </c>
      <c r="J84" t="s">
        <v>1363</v>
      </c>
    </row>
    <row r="85" spans="1:10" x14ac:dyDescent="0.3">
      <c r="A85" s="21">
        <v>45692</v>
      </c>
      <c r="B85" t="s">
        <v>897</v>
      </c>
      <c r="C85" t="s">
        <v>65</v>
      </c>
      <c r="D85">
        <v>2</v>
      </c>
      <c r="E85">
        <v>808</v>
      </c>
      <c r="F85">
        <v>1616</v>
      </c>
      <c r="G85" t="s">
        <v>33</v>
      </c>
      <c r="H85">
        <v>2025</v>
      </c>
      <c r="I85" t="s">
        <v>1352</v>
      </c>
      <c r="J85" t="s">
        <v>1353</v>
      </c>
    </row>
    <row r="86" spans="1:10" x14ac:dyDescent="0.3">
      <c r="A86" s="21">
        <v>45692</v>
      </c>
      <c r="B86" t="s">
        <v>1132</v>
      </c>
      <c r="C86" t="s">
        <v>79</v>
      </c>
      <c r="D86">
        <v>6</v>
      </c>
      <c r="E86">
        <v>989</v>
      </c>
      <c r="F86">
        <v>5934</v>
      </c>
      <c r="G86" t="s">
        <v>33</v>
      </c>
      <c r="H86">
        <v>2025</v>
      </c>
      <c r="I86" t="s">
        <v>1352</v>
      </c>
      <c r="J86" t="s">
        <v>1353</v>
      </c>
    </row>
    <row r="87" spans="1:10" x14ac:dyDescent="0.3">
      <c r="A87" s="21">
        <v>45694</v>
      </c>
      <c r="B87" t="s">
        <v>960</v>
      </c>
      <c r="C87" t="s">
        <v>68</v>
      </c>
      <c r="D87">
        <v>4</v>
      </c>
      <c r="E87">
        <v>229</v>
      </c>
      <c r="F87">
        <v>916</v>
      </c>
      <c r="G87" t="s">
        <v>19</v>
      </c>
      <c r="H87">
        <v>2025</v>
      </c>
      <c r="I87" t="s">
        <v>1352</v>
      </c>
      <c r="J87" t="s">
        <v>1356</v>
      </c>
    </row>
    <row r="88" spans="1:10" x14ac:dyDescent="0.3">
      <c r="A88" s="21">
        <v>45695</v>
      </c>
      <c r="B88" t="s">
        <v>865</v>
      </c>
      <c r="C88" t="s">
        <v>18</v>
      </c>
      <c r="D88">
        <v>1</v>
      </c>
      <c r="E88">
        <v>454</v>
      </c>
      <c r="F88">
        <v>454</v>
      </c>
      <c r="G88" t="s">
        <v>19</v>
      </c>
      <c r="H88">
        <v>2025</v>
      </c>
      <c r="I88" t="s">
        <v>1352</v>
      </c>
      <c r="J88" t="s">
        <v>1366</v>
      </c>
    </row>
    <row r="89" spans="1:10" x14ac:dyDescent="0.3">
      <c r="A89" s="21">
        <v>45695</v>
      </c>
      <c r="B89" t="s">
        <v>1306</v>
      </c>
      <c r="C89" t="s">
        <v>30</v>
      </c>
      <c r="D89">
        <v>4</v>
      </c>
      <c r="E89">
        <v>376</v>
      </c>
      <c r="F89">
        <v>1504</v>
      </c>
      <c r="G89" t="s">
        <v>7</v>
      </c>
      <c r="H89">
        <v>2025</v>
      </c>
      <c r="I89" t="s">
        <v>1352</v>
      </c>
      <c r="J89" t="s">
        <v>1366</v>
      </c>
    </row>
    <row r="90" spans="1:10" x14ac:dyDescent="0.3">
      <c r="A90" s="21">
        <v>45697</v>
      </c>
      <c r="B90" t="s">
        <v>408</v>
      </c>
      <c r="C90" t="s">
        <v>6</v>
      </c>
      <c r="D90">
        <v>6</v>
      </c>
      <c r="E90">
        <v>130</v>
      </c>
      <c r="F90">
        <v>780</v>
      </c>
      <c r="G90" t="s">
        <v>33</v>
      </c>
      <c r="H90">
        <v>2025</v>
      </c>
      <c r="I90" t="s">
        <v>1352</v>
      </c>
      <c r="J90" t="s">
        <v>1361</v>
      </c>
    </row>
    <row r="91" spans="1:10" x14ac:dyDescent="0.3">
      <c r="A91" s="21">
        <v>45697</v>
      </c>
      <c r="B91" t="s">
        <v>1185</v>
      </c>
      <c r="C91" t="s">
        <v>10</v>
      </c>
      <c r="D91">
        <v>4</v>
      </c>
      <c r="E91">
        <v>273</v>
      </c>
      <c r="F91">
        <v>1092</v>
      </c>
      <c r="G91" t="s">
        <v>11</v>
      </c>
      <c r="H91">
        <v>2025</v>
      </c>
      <c r="I91" t="s">
        <v>1352</v>
      </c>
      <c r="J91" t="s">
        <v>1361</v>
      </c>
    </row>
    <row r="92" spans="1:10" x14ac:dyDescent="0.3">
      <c r="A92" s="21">
        <v>45697</v>
      </c>
      <c r="B92" t="s">
        <v>677</v>
      </c>
      <c r="C92" t="s">
        <v>38</v>
      </c>
      <c r="D92">
        <v>2</v>
      </c>
      <c r="E92">
        <v>873</v>
      </c>
      <c r="F92">
        <v>1746</v>
      </c>
      <c r="G92" t="s">
        <v>7</v>
      </c>
      <c r="H92">
        <v>2025</v>
      </c>
      <c r="I92" t="s">
        <v>1352</v>
      </c>
      <c r="J92" t="s">
        <v>1361</v>
      </c>
    </row>
    <row r="93" spans="1:10" x14ac:dyDescent="0.3">
      <c r="A93" s="21">
        <v>45697</v>
      </c>
      <c r="B93" t="s">
        <v>678</v>
      </c>
      <c r="C93" t="s">
        <v>79</v>
      </c>
      <c r="D93">
        <v>6</v>
      </c>
      <c r="E93">
        <v>535</v>
      </c>
      <c r="F93">
        <v>3210</v>
      </c>
      <c r="G93" t="s">
        <v>15</v>
      </c>
      <c r="H93">
        <v>2025</v>
      </c>
      <c r="I93" t="s">
        <v>1352</v>
      </c>
      <c r="J93" t="s">
        <v>1361</v>
      </c>
    </row>
    <row r="94" spans="1:10" x14ac:dyDescent="0.3">
      <c r="A94" s="21">
        <v>45699</v>
      </c>
      <c r="B94" t="s">
        <v>709</v>
      </c>
      <c r="C94" t="s">
        <v>68</v>
      </c>
      <c r="D94">
        <v>3</v>
      </c>
      <c r="E94">
        <v>356</v>
      </c>
      <c r="F94">
        <v>1068</v>
      </c>
      <c r="G94" t="s">
        <v>11</v>
      </c>
      <c r="H94">
        <v>2025</v>
      </c>
      <c r="I94" t="s">
        <v>1352</v>
      </c>
      <c r="J94" t="s">
        <v>1353</v>
      </c>
    </row>
    <row r="95" spans="1:10" x14ac:dyDescent="0.3">
      <c r="A95" s="21">
        <v>45699</v>
      </c>
      <c r="B95" t="s">
        <v>21</v>
      </c>
      <c r="C95" t="s">
        <v>18</v>
      </c>
      <c r="D95">
        <v>5</v>
      </c>
      <c r="E95">
        <v>500</v>
      </c>
      <c r="F95">
        <v>2500</v>
      </c>
      <c r="G95" t="s">
        <v>19</v>
      </c>
      <c r="H95">
        <v>2025</v>
      </c>
      <c r="I95" t="s">
        <v>1352</v>
      </c>
      <c r="J95" t="s">
        <v>1353</v>
      </c>
    </row>
    <row r="96" spans="1:10" x14ac:dyDescent="0.3">
      <c r="A96" s="21">
        <v>45700</v>
      </c>
      <c r="B96" t="s">
        <v>103</v>
      </c>
      <c r="C96" t="s">
        <v>10</v>
      </c>
      <c r="D96">
        <v>1</v>
      </c>
      <c r="E96">
        <v>507</v>
      </c>
      <c r="F96">
        <v>507</v>
      </c>
      <c r="G96" t="s">
        <v>33</v>
      </c>
      <c r="H96">
        <v>2025</v>
      </c>
      <c r="I96" t="s">
        <v>1352</v>
      </c>
      <c r="J96" t="s">
        <v>1358</v>
      </c>
    </row>
    <row r="97" spans="1:10" x14ac:dyDescent="0.3">
      <c r="A97" s="21">
        <v>45700</v>
      </c>
      <c r="B97" t="s">
        <v>784</v>
      </c>
      <c r="C97" t="s">
        <v>18</v>
      </c>
      <c r="D97">
        <v>2</v>
      </c>
      <c r="E97">
        <v>843</v>
      </c>
      <c r="F97">
        <v>1686</v>
      </c>
      <c r="G97" t="s">
        <v>15</v>
      </c>
      <c r="H97">
        <v>2025</v>
      </c>
      <c r="I97" t="s">
        <v>1352</v>
      </c>
      <c r="J97" t="s">
        <v>1358</v>
      </c>
    </row>
    <row r="98" spans="1:10" x14ac:dyDescent="0.3">
      <c r="A98" s="21">
        <v>45700</v>
      </c>
      <c r="B98" t="s">
        <v>612</v>
      </c>
      <c r="C98" t="s">
        <v>6</v>
      </c>
      <c r="D98">
        <v>4</v>
      </c>
      <c r="E98">
        <v>794</v>
      </c>
      <c r="F98">
        <v>3176</v>
      </c>
      <c r="G98" t="s">
        <v>27</v>
      </c>
      <c r="H98">
        <v>2025</v>
      </c>
      <c r="I98" t="s">
        <v>1352</v>
      </c>
      <c r="J98" t="s">
        <v>1358</v>
      </c>
    </row>
    <row r="99" spans="1:10" x14ac:dyDescent="0.3">
      <c r="A99" s="21">
        <v>45701</v>
      </c>
      <c r="B99" t="s">
        <v>770</v>
      </c>
      <c r="C99" t="s">
        <v>30</v>
      </c>
      <c r="D99">
        <v>6</v>
      </c>
      <c r="E99">
        <v>245</v>
      </c>
      <c r="F99">
        <v>1470</v>
      </c>
      <c r="G99" t="s">
        <v>19</v>
      </c>
      <c r="H99">
        <v>2025</v>
      </c>
      <c r="I99" t="s">
        <v>1352</v>
      </c>
      <c r="J99" t="s">
        <v>1356</v>
      </c>
    </row>
    <row r="100" spans="1:10" x14ac:dyDescent="0.3">
      <c r="A100" s="21">
        <v>45701</v>
      </c>
      <c r="B100" t="s">
        <v>64</v>
      </c>
      <c r="C100" t="s">
        <v>65</v>
      </c>
      <c r="D100">
        <v>4</v>
      </c>
      <c r="E100">
        <v>892</v>
      </c>
      <c r="F100">
        <v>3568</v>
      </c>
      <c r="G100" t="s">
        <v>7</v>
      </c>
      <c r="H100">
        <v>2025</v>
      </c>
      <c r="I100" t="s">
        <v>1352</v>
      </c>
      <c r="J100" t="s">
        <v>1356</v>
      </c>
    </row>
    <row r="101" spans="1:10" x14ac:dyDescent="0.3">
      <c r="A101" s="21">
        <v>45703</v>
      </c>
      <c r="B101" t="s">
        <v>772</v>
      </c>
      <c r="C101" t="s">
        <v>30</v>
      </c>
      <c r="D101">
        <v>6</v>
      </c>
      <c r="E101">
        <v>69</v>
      </c>
      <c r="F101">
        <v>414</v>
      </c>
      <c r="G101" t="s">
        <v>15</v>
      </c>
      <c r="H101">
        <v>2025</v>
      </c>
      <c r="I101" t="s">
        <v>1352</v>
      </c>
      <c r="J101" t="s">
        <v>1359</v>
      </c>
    </row>
    <row r="102" spans="1:10" x14ac:dyDescent="0.3">
      <c r="A102" s="21">
        <v>45705</v>
      </c>
      <c r="B102" t="s">
        <v>624</v>
      </c>
      <c r="C102" t="s">
        <v>24</v>
      </c>
      <c r="D102">
        <v>6</v>
      </c>
      <c r="E102">
        <v>249</v>
      </c>
      <c r="F102">
        <v>1494</v>
      </c>
      <c r="G102" t="s">
        <v>11</v>
      </c>
      <c r="H102">
        <v>2025</v>
      </c>
      <c r="I102" t="s">
        <v>1352</v>
      </c>
      <c r="J102" t="s">
        <v>1363</v>
      </c>
    </row>
    <row r="103" spans="1:10" x14ac:dyDescent="0.3">
      <c r="A103" s="21">
        <v>45705</v>
      </c>
      <c r="B103" t="s">
        <v>1271</v>
      </c>
      <c r="C103" t="s">
        <v>10</v>
      </c>
      <c r="D103">
        <v>5</v>
      </c>
      <c r="E103">
        <v>834</v>
      </c>
      <c r="F103">
        <v>4170</v>
      </c>
      <c r="G103" t="s">
        <v>7</v>
      </c>
      <c r="H103">
        <v>2025</v>
      </c>
      <c r="I103" t="s">
        <v>1352</v>
      </c>
      <c r="J103" t="s">
        <v>1363</v>
      </c>
    </row>
    <row r="104" spans="1:10" x14ac:dyDescent="0.3">
      <c r="A104" s="21">
        <v>45706</v>
      </c>
      <c r="B104" t="s">
        <v>473</v>
      </c>
      <c r="C104" t="s">
        <v>18</v>
      </c>
      <c r="D104">
        <v>2</v>
      </c>
      <c r="E104">
        <v>466</v>
      </c>
      <c r="F104">
        <v>932</v>
      </c>
      <c r="G104" t="s">
        <v>11</v>
      </c>
      <c r="H104">
        <v>2025</v>
      </c>
      <c r="I104" t="s">
        <v>1352</v>
      </c>
      <c r="J104" t="s">
        <v>1353</v>
      </c>
    </row>
    <row r="105" spans="1:10" x14ac:dyDescent="0.3">
      <c r="A105" s="21">
        <v>45707</v>
      </c>
      <c r="B105" t="s">
        <v>1287</v>
      </c>
      <c r="C105" t="s">
        <v>30</v>
      </c>
      <c r="D105">
        <v>3</v>
      </c>
      <c r="E105">
        <v>99</v>
      </c>
      <c r="F105">
        <v>297</v>
      </c>
      <c r="G105" t="s">
        <v>11</v>
      </c>
      <c r="H105">
        <v>2025</v>
      </c>
      <c r="I105" t="s">
        <v>1352</v>
      </c>
      <c r="J105" t="s">
        <v>1358</v>
      </c>
    </row>
    <row r="106" spans="1:10" x14ac:dyDescent="0.3">
      <c r="A106" s="21">
        <v>45707</v>
      </c>
      <c r="B106" t="s">
        <v>1223</v>
      </c>
      <c r="C106" t="s">
        <v>38</v>
      </c>
      <c r="D106">
        <v>2</v>
      </c>
      <c r="E106">
        <v>749</v>
      </c>
      <c r="F106">
        <v>1498</v>
      </c>
      <c r="G106" t="s">
        <v>33</v>
      </c>
      <c r="H106">
        <v>2025</v>
      </c>
      <c r="I106" t="s">
        <v>1352</v>
      </c>
      <c r="J106" t="s">
        <v>1358</v>
      </c>
    </row>
    <row r="107" spans="1:10" x14ac:dyDescent="0.3">
      <c r="A107" s="21">
        <v>45707</v>
      </c>
      <c r="B107" t="s">
        <v>971</v>
      </c>
      <c r="C107" t="s">
        <v>14</v>
      </c>
      <c r="D107">
        <v>5</v>
      </c>
      <c r="E107">
        <v>557</v>
      </c>
      <c r="F107">
        <v>2785</v>
      </c>
      <c r="G107" t="s">
        <v>33</v>
      </c>
      <c r="H107">
        <v>2025</v>
      </c>
      <c r="I107" t="s">
        <v>1352</v>
      </c>
      <c r="J107" t="s">
        <v>1358</v>
      </c>
    </row>
    <row r="108" spans="1:10" x14ac:dyDescent="0.3">
      <c r="A108" s="21">
        <v>45708</v>
      </c>
      <c r="B108" t="s">
        <v>393</v>
      </c>
      <c r="C108" t="s">
        <v>38</v>
      </c>
      <c r="D108">
        <v>1</v>
      </c>
      <c r="E108">
        <v>218</v>
      </c>
      <c r="F108">
        <v>218</v>
      </c>
      <c r="G108" t="s">
        <v>33</v>
      </c>
      <c r="H108">
        <v>2025</v>
      </c>
      <c r="I108" t="s">
        <v>1352</v>
      </c>
      <c r="J108" t="s">
        <v>1356</v>
      </c>
    </row>
    <row r="109" spans="1:10" x14ac:dyDescent="0.3">
      <c r="A109" s="21">
        <v>45708</v>
      </c>
      <c r="B109" t="s">
        <v>372</v>
      </c>
      <c r="C109" t="s">
        <v>10</v>
      </c>
      <c r="D109">
        <v>3</v>
      </c>
      <c r="E109">
        <v>898</v>
      </c>
      <c r="F109">
        <v>2694</v>
      </c>
      <c r="G109" t="s">
        <v>27</v>
      </c>
      <c r="H109">
        <v>2025</v>
      </c>
      <c r="I109" t="s">
        <v>1352</v>
      </c>
      <c r="J109" t="s">
        <v>1356</v>
      </c>
    </row>
    <row r="110" spans="1:10" x14ac:dyDescent="0.3">
      <c r="A110" s="21">
        <v>45708</v>
      </c>
      <c r="B110" t="s">
        <v>1307</v>
      </c>
      <c r="C110" t="s">
        <v>38</v>
      </c>
      <c r="D110">
        <v>6</v>
      </c>
      <c r="E110">
        <v>641</v>
      </c>
      <c r="F110">
        <v>3846</v>
      </c>
      <c r="G110" t="s">
        <v>11</v>
      </c>
      <c r="H110">
        <v>2025</v>
      </c>
      <c r="I110" t="s">
        <v>1352</v>
      </c>
      <c r="J110" t="s">
        <v>1356</v>
      </c>
    </row>
    <row r="111" spans="1:10" x14ac:dyDescent="0.3">
      <c r="A111" s="21">
        <v>45708</v>
      </c>
      <c r="B111" t="s">
        <v>1082</v>
      </c>
      <c r="C111" t="s">
        <v>30</v>
      </c>
      <c r="D111">
        <v>6</v>
      </c>
      <c r="E111">
        <v>966</v>
      </c>
      <c r="F111">
        <v>5796</v>
      </c>
      <c r="G111" t="s">
        <v>7</v>
      </c>
      <c r="H111">
        <v>2025</v>
      </c>
      <c r="I111" t="s">
        <v>1352</v>
      </c>
      <c r="J111" t="s">
        <v>1356</v>
      </c>
    </row>
    <row r="112" spans="1:10" x14ac:dyDescent="0.3">
      <c r="A112" s="21">
        <v>45709</v>
      </c>
      <c r="B112" t="s">
        <v>810</v>
      </c>
      <c r="C112" t="s">
        <v>18</v>
      </c>
      <c r="D112">
        <v>5</v>
      </c>
      <c r="E112">
        <v>227</v>
      </c>
      <c r="F112">
        <v>1135</v>
      </c>
      <c r="G112" t="s">
        <v>7</v>
      </c>
      <c r="H112">
        <v>2025</v>
      </c>
      <c r="I112" t="s">
        <v>1352</v>
      </c>
      <c r="J112" t="s">
        <v>1366</v>
      </c>
    </row>
    <row r="113" spans="1:10" x14ac:dyDescent="0.3">
      <c r="A113" s="21">
        <v>45711</v>
      </c>
      <c r="B113" t="s">
        <v>833</v>
      </c>
      <c r="C113" t="s">
        <v>30</v>
      </c>
      <c r="D113">
        <v>1</v>
      </c>
      <c r="E113">
        <v>246</v>
      </c>
      <c r="F113">
        <v>246</v>
      </c>
      <c r="G113" t="s">
        <v>11</v>
      </c>
      <c r="H113">
        <v>2025</v>
      </c>
      <c r="I113" t="s">
        <v>1352</v>
      </c>
      <c r="J113" t="s">
        <v>1361</v>
      </c>
    </row>
    <row r="114" spans="1:10" x14ac:dyDescent="0.3">
      <c r="A114" s="21">
        <v>45711</v>
      </c>
      <c r="B114" t="s">
        <v>687</v>
      </c>
      <c r="C114" t="s">
        <v>38</v>
      </c>
      <c r="D114">
        <v>4</v>
      </c>
      <c r="E114">
        <v>577</v>
      </c>
      <c r="F114">
        <v>2308</v>
      </c>
      <c r="G114" t="s">
        <v>33</v>
      </c>
      <c r="H114">
        <v>2025</v>
      </c>
      <c r="I114" t="s">
        <v>1352</v>
      </c>
      <c r="J114" t="s">
        <v>1361</v>
      </c>
    </row>
    <row r="115" spans="1:10" x14ac:dyDescent="0.3">
      <c r="A115" s="21">
        <v>45712</v>
      </c>
      <c r="B115" t="s">
        <v>541</v>
      </c>
      <c r="C115" t="s">
        <v>30</v>
      </c>
      <c r="D115">
        <v>2</v>
      </c>
      <c r="E115">
        <v>443</v>
      </c>
      <c r="F115">
        <v>886</v>
      </c>
      <c r="G115" t="s">
        <v>11</v>
      </c>
      <c r="H115">
        <v>2025</v>
      </c>
      <c r="I115" t="s">
        <v>1352</v>
      </c>
      <c r="J115" t="s">
        <v>1363</v>
      </c>
    </row>
    <row r="116" spans="1:10" x14ac:dyDescent="0.3">
      <c r="A116" s="21">
        <v>45713</v>
      </c>
      <c r="B116" t="s">
        <v>903</v>
      </c>
      <c r="C116" t="s">
        <v>38</v>
      </c>
      <c r="D116">
        <v>5</v>
      </c>
      <c r="E116">
        <v>101</v>
      </c>
      <c r="F116">
        <v>505</v>
      </c>
      <c r="G116" t="s">
        <v>7</v>
      </c>
      <c r="H116">
        <v>2025</v>
      </c>
      <c r="I116" t="s">
        <v>1352</v>
      </c>
      <c r="J116" t="s">
        <v>1353</v>
      </c>
    </row>
    <row r="117" spans="1:10" x14ac:dyDescent="0.3">
      <c r="A117" s="21">
        <v>45714</v>
      </c>
      <c r="B117" t="s">
        <v>989</v>
      </c>
      <c r="C117" t="s">
        <v>6</v>
      </c>
      <c r="D117">
        <v>4</v>
      </c>
      <c r="E117">
        <v>515</v>
      </c>
      <c r="F117">
        <v>2060</v>
      </c>
      <c r="G117" t="s">
        <v>11</v>
      </c>
      <c r="H117">
        <v>2025</v>
      </c>
      <c r="I117" t="s">
        <v>1352</v>
      </c>
      <c r="J117" t="s">
        <v>1358</v>
      </c>
    </row>
    <row r="118" spans="1:10" x14ac:dyDescent="0.3">
      <c r="A118" s="21">
        <v>45715</v>
      </c>
      <c r="B118" t="s">
        <v>1094</v>
      </c>
      <c r="C118" t="s">
        <v>30</v>
      </c>
      <c r="D118">
        <v>3</v>
      </c>
      <c r="E118">
        <v>276</v>
      </c>
      <c r="F118">
        <v>828</v>
      </c>
      <c r="G118" t="s">
        <v>33</v>
      </c>
      <c r="H118">
        <v>2025</v>
      </c>
      <c r="I118" t="s">
        <v>1352</v>
      </c>
      <c r="J118" t="s">
        <v>1356</v>
      </c>
    </row>
    <row r="119" spans="1:10" x14ac:dyDescent="0.3">
      <c r="A119" s="21">
        <v>45715</v>
      </c>
      <c r="B119" t="s">
        <v>1093</v>
      </c>
      <c r="C119" t="s">
        <v>6</v>
      </c>
      <c r="D119">
        <v>3</v>
      </c>
      <c r="E119">
        <v>679</v>
      </c>
      <c r="F119">
        <v>2037</v>
      </c>
      <c r="G119" t="s">
        <v>19</v>
      </c>
      <c r="H119">
        <v>2025</v>
      </c>
      <c r="I119" t="s">
        <v>1352</v>
      </c>
      <c r="J119" t="s">
        <v>1356</v>
      </c>
    </row>
    <row r="120" spans="1:10" x14ac:dyDescent="0.3">
      <c r="A120" s="21">
        <v>45715</v>
      </c>
      <c r="B120" t="s">
        <v>1285</v>
      </c>
      <c r="C120" t="s">
        <v>10</v>
      </c>
      <c r="D120">
        <v>6</v>
      </c>
      <c r="E120">
        <v>770</v>
      </c>
      <c r="F120">
        <v>4620</v>
      </c>
      <c r="G120" t="s">
        <v>11</v>
      </c>
      <c r="H120">
        <v>2025</v>
      </c>
      <c r="I120" t="s">
        <v>1352</v>
      </c>
      <c r="J120" t="s">
        <v>1356</v>
      </c>
    </row>
    <row r="121" spans="1:10" x14ac:dyDescent="0.3">
      <c r="A121" s="21">
        <v>45716</v>
      </c>
      <c r="B121" t="s">
        <v>273</v>
      </c>
      <c r="C121" t="s">
        <v>14</v>
      </c>
      <c r="D121">
        <v>4</v>
      </c>
      <c r="E121">
        <v>116</v>
      </c>
      <c r="F121">
        <v>464</v>
      </c>
      <c r="G121" t="s">
        <v>15</v>
      </c>
      <c r="H121">
        <v>2025</v>
      </c>
      <c r="I121" t="s">
        <v>1352</v>
      </c>
      <c r="J121" t="s">
        <v>1366</v>
      </c>
    </row>
    <row r="122" spans="1:10" x14ac:dyDescent="0.3">
      <c r="A122" s="21">
        <v>45718</v>
      </c>
      <c r="B122" t="s">
        <v>294</v>
      </c>
      <c r="C122" t="s">
        <v>10</v>
      </c>
      <c r="D122">
        <v>4</v>
      </c>
      <c r="E122">
        <v>228</v>
      </c>
      <c r="F122">
        <v>912</v>
      </c>
      <c r="G122" t="s">
        <v>27</v>
      </c>
      <c r="H122">
        <v>2025</v>
      </c>
      <c r="I122" t="s">
        <v>1354</v>
      </c>
      <c r="J122" t="s">
        <v>1361</v>
      </c>
    </row>
    <row r="123" spans="1:10" x14ac:dyDescent="0.3">
      <c r="A123" s="21">
        <v>45718</v>
      </c>
      <c r="B123" t="s">
        <v>1315</v>
      </c>
      <c r="C123" t="s">
        <v>14</v>
      </c>
      <c r="D123">
        <v>2</v>
      </c>
      <c r="E123">
        <v>947</v>
      </c>
      <c r="F123">
        <v>1894</v>
      </c>
      <c r="G123" t="s">
        <v>33</v>
      </c>
      <c r="H123">
        <v>2025</v>
      </c>
      <c r="I123" t="s">
        <v>1354</v>
      </c>
      <c r="J123" t="s">
        <v>1361</v>
      </c>
    </row>
    <row r="124" spans="1:10" x14ac:dyDescent="0.3">
      <c r="A124" s="21">
        <v>45720</v>
      </c>
      <c r="B124" t="s">
        <v>918</v>
      </c>
      <c r="C124" t="s">
        <v>38</v>
      </c>
      <c r="D124">
        <v>1</v>
      </c>
      <c r="E124">
        <v>533</v>
      </c>
      <c r="F124">
        <v>533</v>
      </c>
      <c r="G124" t="s">
        <v>15</v>
      </c>
      <c r="H124">
        <v>2025</v>
      </c>
      <c r="I124" t="s">
        <v>1354</v>
      </c>
      <c r="J124" t="s">
        <v>1353</v>
      </c>
    </row>
    <row r="125" spans="1:10" x14ac:dyDescent="0.3">
      <c r="A125" s="21">
        <v>45720</v>
      </c>
      <c r="B125" t="s">
        <v>1184</v>
      </c>
      <c r="C125" t="s">
        <v>6</v>
      </c>
      <c r="D125">
        <v>2</v>
      </c>
      <c r="E125">
        <v>813</v>
      </c>
      <c r="F125">
        <v>1626</v>
      </c>
      <c r="G125" t="s">
        <v>7</v>
      </c>
      <c r="H125">
        <v>2025</v>
      </c>
      <c r="I125" t="s">
        <v>1354</v>
      </c>
      <c r="J125" t="s">
        <v>1353</v>
      </c>
    </row>
    <row r="126" spans="1:10" x14ac:dyDescent="0.3">
      <c r="A126" s="21">
        <v>45720</v>
      </c>
      <c r="B126" t="s">
        <v>139</v>
      </c>
      <c r="C126" t="s">
        <v>38</v>
      </c>
      <c r="D126">
        <v>6</v>
      </c>
      <c r="E126">
        <v>817</v>
      </c>
      <c r="F126">
        <v>4902</v>
      </c>
      <c r="G126" t="s">
        <v>33</v>
      </c>
      <c r="H126">
        <v>2025</v>
      </c>
      <c r="I126" t="s">
        <v>1354</v>
      </c>
      <c r="J126" t="s">
        <v>1353</v>
      </c>
    </row>
    <row r="127" spans="1:10" x14ac:dyDescent="0.3">
      <c r="A127" s="21">
        <v>45721</v>
      </c>
      <c r="B127" t="s">
        <v>1006</v>
      </c>
      <c r="C127" t="s">
        <v>6</v>
      </c>
      <c r="D127">
        <v>5</v>
      </c>
      <c r="E127">
        <v>878</v>
      </c>
      <c r="F127">
        <v>4390</v>
      </c>
      <c r="G127" t="s">
        <v>19</v>
      </c>
      <c r="H127">
        <v>2025</v>
      </c>
      <c r="I127" t="s">
        <v>1354</v>
      </c>
      <c r="J127" t="s">
        <v>1358</v>
      </c>
    </row>
    <row r="128" spans="1:10" x14ac:dyDescent="0.3">
      <c r="A128" s="21">
        <v>45723</v>
      </c>
      <c r="B128" t="s">
        <v>88</v>
      </c>
      <c r="C128" t="s">
        <v>6</v>
      </c>
      <c r="D128">
        <v>4</v>
      </c>
      <c r="E128">
        <v>506</v>
      </c>
      <c r="F128">
        <v>2024</v>
      </c>
      <c r="G128" t="s">
        <v>11</v>
      </c>
      <c r="H128">
        <v>2025</v>
      </c>
      <c r="I128" t="s">
        <v>1354</v>
      </c>
      <c r="J128" t="s">
        <v>1366</v>
      </c>
    </row>
    <row r="129" spans="1:10" x14ac:dyDescent="0.3">
      <c r="A129" s="21">
        <v>45724</v>
      </c>
      <c r="B129" t="s">
        <v>211</v>
      </c>
      <c r="C129" t="s">
        <v>14</v>
      </c>
      <c r="D129">
        <v>2</v>
      </c>
      <c r="E129">
        <v>803</v>
      </c>
      <c r="F129">
        <v>1606</v>
      </c>
      <c r="G129" t="s">
        <v>19</v>
      </c>
      <c r="H129">
        <v>2025</v>
      </c>
      <c r="I129" t="s">
        <v>1354</v>
      </c>
      <c r="J129" t="s">
        <v>1359</v>
      </c>
    </row>
    <row r="130" spans="1:10" x14ac:dyDescent="0.3">
      <c r="A130" s="21">
        <v>45725</v>
      </c>
      <c r="B130" t="s">
        <v>342</v>
      </c>
      <c r="C130" t="s">
        <v>14</v>
      </c>
      <c r="D130">
        <v>3</v>
      </c>
      <c r="E130">
        <v>540</v>
      </c>
      <c r="F130">
        <v>1620</v>
      </c>
      <c r="G130" t="s">
        <v>33</v>
      </c>
      <c r="H130">
        <v>2025</v>
      </c>
      <c r="I130" t="s">
        <v>1354</v>
      </c>
      <c r="J130" t="s">
        <v>1361</v>
      </c>
    </row>
    <row r="131" spans="1:10" x14ac:dyDescent="0.3">
      <c r="A131" s="21">
        <v>45726</v>
      </c>
      <c r="B131" t="s">
        <v>145</v>
      </c>
      <c r="C131" t="s">
        <v>79</v>
      </c>
      <c r="D131">
        <v>3</v>
      </c>
      <c r="E131">
        <v>81</v>
      </c>
      <c r="F131">
        <v>243</v>
      </c>
      <c r="G131" t="s">
        <v>7</v>
      </c>
      <c r="H131">
        <v>2025</v>
      </c>
      <c r="I131" t="s">
        <v>1354</v>
      </c>
      <c r="J131" t="s">
        <v>1363</v>
      </c>
    </row>
    <row r="132" spans="1:10" x14ac:dyDescent="0.3">
      <c r="A132" s="21">
        <v>45726</v>
      </c>
      <c r="B132" t="s">
        <v>1125</v>
      </c>
      <c r="C132" t="s">
        <v>6</v>
      </c>
      <c r="D132">
        <v>5</v>
      </c>
      <c r="E132">
        <v>133</v>
      </c>
      <c r="F132">
        <v>665</v>
      </c>
      <c r="G132" t="s">
        <v>19</v>
      </c>
      <c r="H132">
        <v>2025</v>
      </c>
      <c r="I132" t="s">
        <v>1354</v>
      </c>
      <c r="J132" t="s">
        <v>1363</v>
      </c>
    </row>
    <row r="133" spans="1:10" x14ac:dyDescent="0.3">
      <c r="A133" s="21">
        <v>45726</v>
      </c>
      <c r="B133" t="s">
        <v>1015</v>
      </c>
      <c r="C133" t="s">
        <v>14</v>
      </c>
      <c r="D133">
        <v>5</v>
      </c>
      <c r="E133">
        <v>785</v>
      </c>
      <c r="F133">
        <v>3925</v>
      </c>
      <c r="G133" t="s">
        <v>7</v>
      </c>
      <c r="H133">
        <v>2025</v>
      </c>
      <c r="I133" t="s">
        <v>1354</v>
      </c>
      <c r="J133" t="s">
        <v>1363</v>
      </c>
    </row>
    <row r="134" spans="1:10" x14ac:dyDescent="0.3">
      <c r="A134" s="21">
        <v>45727</v>
      </c>
      <c r="B134" t="s">
        <v>491</v>
      </c>
      <c r="C134" t="s">
        <v>24</v>
      </c>
      <c r="D134">
        <v>3</v>
      </c>
      <c r="E134">
        <v>124</v>
      </c>
      <c r="F134">
        <v>372</v>
      </c>
      <c r="G134" t="s">
        <v>19</v>
      </c>
      <c r="H134">
        <v>2025</v>
      </c>
      <c r="I134" t="s">
        <v>1354</v>
      </c>
      <c r="J134" t="s">
        <v>1353</v>
      </c>
    </row>
    <row r="135" spans="1:10" x14ac:dyDescent="0.3">
      <c r="A135" s="21">
        <v>45727</v>
      </c>
      <c r="B135" t="s">
        <v>1027</v>
      </c>
      <c r="C135" t="s">
        <v>6</v>
      </c>
      <c r="D135">
        <v>5</v>
      </c>
      <c r="E135">
        <v>247</v>
      </c>
      <c r="F135">
        <v>1235</v>
      </c>
      <c r="G135" t="s">
        <v>27</v>
      </c>
      <c r="H135">
        <v>2025</v>
      </c>
      <c r="I135" t="s">
        <v>1354</v>
      </c>
      <c r="J135" t="s">
        <v>1353</v>
      </c>
    </row>
    <row r="136" spans="1:10" x14ac:dyDescent="0.3">
      <c r="A136" s="21">
        <v>45727</v>
      </c>
      <c r="B136" t="s">
        <v>231</v>
      </c>
      <c r="C136" t="s">
        <v>10</v>
      </c>
      <c r="D136">
        <v>2</v>
      </c>
      <c r="E136">
        <v>770</v>
      </c>
      <c r="F136">
        <v>1540</v>
      </c>
      <c r="G136" t="s">
        <v>15</v>
      </c>
      <c r="H136">
        <v>2025</v>
      </c>
      <c r="I136" t="s">
        <v>1354</v>
      </c>
      <c r="J136" t="s">
        <v>1353</v>
      </c>
    </row>
    <row r="137" spans="1:10" x14ac:dyDescent="0.3">
      <c r="A137" s="21">
        <v>45728</v>
      </c>
      <c r="B137" t="s">
        <v>530</v>
      </c>
      <c r="C137" t="s">
        <v>6</v>
      </c>
      <c r="D137">
        <v>5</v>
      </c>
      <c r="E137">
        <v>175</v>
      </c>
      <c r="F137">
        <v>875</v>
      </c>
      <c r="G137" t="s">
        <v>7</v>
      </c>
      <c r="H137">
        <v>2025</v>
      </c>
      <c r="I137" t="s">
        <v>1354</v>
      </c>
      <c r="J137" t="s">
        <v>1358</v>
      </c>
    </row>
    <row r="138" spans="1:10" x14ac:dyDescent="0.3">
      <c r="A138" s="21">
        <v>45728</v>
      </c>
      <c r="B138" t="s">
        <v>734</v>
      </c>
      <c r="C138" t="s">
        <v>14</v>
      </c>
      <c r="D138">
        <v>5</v>
      </c>
      <c r="E138">
        <v>661</v>
      </c>
      <c r="F138">
        <v>3305</v>
      </c>
      <c r="G138" t="s">
        <v>19</v>
      </c>
      <c r="H138">
        <v>2025</v>
      </c>
      <c r="I138" t="s">
        <v>1354</v>
      </c>
      <c r="J138" t="s">
        <v>1358</v>
      </c>
    </row>
    <row r="139" spans="1:10" x14ac:dyDescent="0.3">
      <c r="A139" s="21">
        <v>45729</v>
      </c>
      <c r="B139" t="s">
        <v>932</v>
      </c>
      <c r="C139" t="s">
        <v>38</v>
      </c>
      <c r="D139">
        <v>3</v>
      </c>
      <c r="E139">
        <v>537</v>
      </c>
      <c r="F139">
        <v>1611</v>
      </c>
      <c r="G139" t="s">
        <v>15</v>
      </c>
      <c r="H139">
        <v>2025</v>
      </c>
      <c r="I139" t="s">
        <v>1354</v>
      </c>
      <c r="J139" t="s">
        <v>1356</v>
      </c>
    </row>
    <row r="140" spans="1:10" x14ac:dyDescent="0.3">
      <c r="A140" s="21">
        <v>45729</v>
      </c>
      <c r="B140" t="s">
        <v>1180</v>
      </c>
      <c r="C140" t="s">
        <v>18</v>
      </c>
      <c r="D140">
        <v>5</v>
      </c>
      <c r="E140">
        <v>455</v>
      </c>
      <c r="F140">
        <v>2275</v>
      </c>
      <c r="G140" t="s">
        <v>19</v>
      </c>
      <c r="H140">
        <v>2025</v>
      </c>
      <c r="I140" t="s">
        <v>1354</v>
      </c>
      <c r="J140" t="s">
        <v>1356</v>
      </c>
    </row>
    <row r="141" spans="1:10" x14ac:dyDescent="0.3">
      <c r="A141" s="21">
        <v>45729</v>
      </c>
      <c r="B141" t="s">
        <v>1246</v>
      </c>
      <c r="C141" t="s">
        <v>10</v>
      </c>
      <c r="D141">
        <v>5</v>
      </c>
      <c r="E141">
        <v>739</v>
      </c>
      <c r="F141">
        <v>3695</v>
      </c>
      <c r="G141" t="s">
        <v>33</v>
      </c>
      <c r="H141">
        <v>2025</v>
      </c>
      <c r="I141" t="s">
        <v>1354</v>
      </c>
      <c r="J141" t="s">
        <v>1356</v>
      </c>
    </row>
    <row r="142" spans="1:10" x14ac:dyDescent="0.3">
      <c r="A142" s="21">
        <v>45730</v>
      </c>
      <c r="B142" t="s">
        <v>1286</v>
      </c>
      <c r="C142" t="s">
        <v>18</v>
      </c>
      <c r="D142">
        <v>1</v>
      </c>
      <c r="E142">
        <v>943</v>
      </c>
      <c r="F142">
        <v>943</v>
      </c>
      <c r="G142" t="s">
        <v>11</v>
      </c>
      <c r="H142">
        <v>2025</v>
      </c>
      <c r="I142" t="s">
        <v>1354</v>
      </c>
      <c r="J142" t="s">
        <v>1366</v>
      </c>
    </row>
    <row r="143" spans="1:10" x14ac:dyDescent="0.3">
      <c r="A143" s="21">
        <v>45730</v>
      </c>
      <c r="B143" t="s">
        <v>888</v>
      </c>
      <c r="C143" t="s">
        <v>30</v>
      </c>
      <c r="D143">
        <v>2</v>
      </c>
      <c r="E143">
        <v>601</v>
      </c>
      <c r="F143">
        <v>1202</v>
      </c>
      <c r="G143" t="s">
        <v>11</v>
      </c>
      <c r="H143">
        <v>2025</v>
      </c>
      <c r="I143" t="s">
        <v>1354</v>
      </c>
      <c r="J143" t="s">
        <v>1366</v>
      </c>
    </row>
    <row r="144" spans="1:10" x14ac:dyDescent="0.3">
      <c r="A144" s="21">
        <v>45730</v>
      </c>
      <c r="B144" t="s">
        <v>1049</v>
      </c>
      <c r="C144" t="s">
        <v>10</v>
      </c>
      <c r="D144">
        <v>6</v>
      </c>
      <c r="E144">
        <v>442</v>
      </c>
      <c r="F144">
        <v>2652</v>
      </c>
      <c r="G144" t="s">
        <v>15</v>
      </c>
      <c r="H144">
        <v>2025</v>
      </c>
      <c r="I144" t="s">
        <v>1354</v>
      </c>
      <c r="J144" t="s">
        <v>1366</v>
      </c>
    </row>
    <row r="145" spans="1:10" x14ac:dyDescent="0.3">
      <c r="A145" s="21">
        <v>45732</v>
      </c>
      <c r="B145" t="s">
        <v>9</v>
      </c>
      <c r="C145" t="s">
        <v>18</v>
      </c>
      <c r="D145">
        <v>3</v>
      </c>
      <c r="E145">
        <v>870</v>
      </c>
      <c r="F145">
        <v>2610</v>
      </c>
      <c r="G145" t="s">
        <v>19</v>
      </c>
      <c r="H145">
        <v>2025</v>
      </c>
      <c r="I145" t="s">
        <v>1354</v>
      </c>
      <c r="J145" t="s">
        <v>1361</v>
      </c>
    </row>
    <row r="146" spans="1:10" x14ac:dyDescent="0.3">
      <c r="A146" s="21">
        <v>45733</v>
      </c>
      <c r="B146" t="s">
        <v>602</v>
      </c>
      <c r="C146" t="s">
        <v>24</v>
      </c>
      <c r="D146">
        <v>4</v>
      </c>
      <c r="E146">
        <v>58</v>
      </c>
      <c r="F146">
        <v>232</v>
      </c>
      <c r="G146" t="s">
        <v>33</v>
      </c>
      <c r="H146">
        <v>2025</v>
      </c>
      <c r="I146" t="s">
        <v>1354</v>
      </c>
      <c r="J146" t="s">
        <v>1363</v>
      </c>
    </row>
    <row r="147" spans="1:10" x14ac:dyDescent="0.3">
      <c r="A147" s="21">
        <v>45734</v>
      </c>
      <c r="B147" t="s">
        <v>800</v>
      </c>
      <c r="C147" t="s">
        <v>38</v>
      </c>
      <c r="D147">
        <v>1</v>
      </c>
      <c r="E147">
        <v>262</v>
      </c>
      <c r="F147">
        <v>262</v>
      </c>
      <c r="G147" t="s">
        <v>11</v>
      </c>
      <c r="H147">
        <v>2025</v>
      </c>
      <c r="I147" t="s">
        <v>1354</v>
      </c>
      <c r="J147" t="s">
        <v>1353</v>
      </c>
    </row>
    <row r="148" spans="1:10" x14ac:dyDescent="0.3">
      <c r="A148" s="21">
        <v>45734</v>
      </c>
      <c r="B148" t="s">
        <v>532</v>
      </c>
      <c r="C148" t="s">
        <v>65</v>
      </c>
      <c r="D148">
        <v>2</v>
      </c>
      <c r="E148">
        <v>510</v>
      </c>
      <c r="F148">
        <v>1020</v>
      </c>
      <c r="G148" t="s">
        <v>33</v>
      </c>
      <c r="H148">
        <v>2025</v>
      </c>
      <c r="I148" t="s">
        <v>1354</v>
      </c>
      <c r="J148" t="s">
        <v>1353</v>
      </c>
    </row>
    <row r="149" spans="1:10" x14ac:dyDescent="0.3">
      <c r="A149" s="21">
        <v>45734</v>
      </c>
      <c r="B149" t="s">
        <v>858</v>
      </c>
      <c r="C149" t="s">
        <v>6</v>
      </c>
      <c r="D149">
        <v>5</v>
      </c>
      <c r="E149">
        <v>344</v>
      </c>
      <c r="F149">
        <v>1720</v>
      </c>
      <c r="G149" t="s">
        <v>27</v>
      </c>
      <c r="H149">
        <v>2025</v>
      </c>
      <c r="I149" t="s">
        <v>1354</v>
      </c>
      <c r="J149" t="s">
        <v>1353</v>
      </c>
    </row>
    <row r="150" spans="1:10" x14ac:dyDescent="0.3">
      <c r="A150" s="21">
        <v>45735</v>
      </c>
      <c r="B150" t="s">
        <v>725</v>
      </c>
      <c r="C150" t="s">
        <v>6</v>
      </c>
      <c r="D150">
        <v>2</v>
      </c>
      <c r="E150">
        <v>865</v>
      </c>
      <c r="F150">
        <v>1730</v>
      </c>
      <c r="G150" t="s">
        <v>7</v>
      </c>
      <c r="H150">
        <v>2025</v>
      </c>
      <c r="I150" t="s">
        <v>1354</v>
      </c>
      <c r="J150" t="s">
        <v>1358</v>
      </c>
    </row>
    <row r="151" spans="1:10" x14ac:dyDescent="0.3">
      <c r="A151" s="21">
        <v>45736</v>
      </c>
      <c r="B151" t="s">
        <v>1018</v>
      </c>
      <c r="C151" t="s">
        <v>30</v>
      </c>
      <c r="D151">
        <v>2</v>
      </c>
      <c r="E151">
        <v>64</v>
      </c>
      <c r="F151">
        <v>128</v>
      </c>
      <c r="G151" t="s">
        <v>19</v>
      </c>
      <c r="H151">
        <v>2025</v>
      </c>
      <c r="I151" t="s">
        <v>1354</v>
      </c>
      <c r="J151" t="s">
        <v>1356</v>
      </c>
    </row>
    <row r="152" spans="1:10" x14ac:dyDescent="0.3">
      <c r="A152" s="21">
        <v>45737</v>
      </c>
      <c r="B152" t="s">
        <v>380</v>
      </c>
      <c r="C152" t="s">
        <v>30</v>
      </c>
      <c r="D152">
        <v>1</v>
      </c>
      <c r="E152">
        <v>182</v>
      </c>
      <c r="F152">
        <v>182</v>
      </c>
      <c r="G152" t="s">
        <v>33</v>
      </c>
      <c r="H152">
        <v>2025</v>
      </c>
      <c r="I152" t="s">
        <v>1354</v>
      </c>
      <c r="J152" t="s">
        <v>1366</v>
      </c>
    </row>
    <row r="153" spans="1:10" x14ac:dyDescent="0.3">
      <c r="A153" s="21">
        <v>45737</v>
      </c>
      <c r="B153" t="s">
        <v>381</v>
      </c>
      <c r="C153" t="s">
        <v>14</v>
      </c>
      <c r="D153">
        <v>4</v>
      </c>
      <c r="E153">
        <v>493</v>
      </c>
      <c r="F153">
        <v>1972</v>
      </c>
      <c r="G153" t="s">
        <v>7</v>
      </c>
      <c r="H153">
        <v>2025</v>
      </c>
      <c r="I153" t="s">
        <v>1354</v>
      </c>
      <c r="J153" t="s">
        <v>1366</v>
      </c>
    </row>
    <row r="154" spans="1:10" x14ac:dyDescent="0.3">
      <c r="A154" s="21">
        <v>45737</v>
      </c>
      <c r="B154" t="s">
        <v>379</v>
      </c>
      <c r="C154" t="s">
        <v>30</v>
      </c>
      <c r="D154">
        <v>3</v>
      </c>
      <c r="E154">
        <v>836</v>
      </c>
      <c r="F154">
        <v>2508</v>
      </c>
      <c r="G154" t="s">
        <v>11</v>
      </c>
      <c r="H154">
        <v>2025</v>
      </c>
      <c r="I154" t="s">
        <v>1354</v>
      </c>
      <c r="J154" t="s">
        <v>1366</v>
      </c>
    </row>
    <row r="155" spans="1:10" x14ac:dyDescent="0.3">
      <c r="A155" s="21">
        <v>45738</v>
      </c>
      <c r="B155" t="s">
        <v>461</v>
      </c>
      <c r="C155" t="s">
        <v>65</v>
      </c>
      <c r="D155">
        <v>3</v>
      </c>
      <c r="E155">
        <v>321</v>
      </c>
      <c r="F155">
        <v>963</v>
      </c>
      <c r="G155" t="s">
        <v>27</v>
      </c>
      <c r="H155">
        <v>2025</v>
      </c>
      <c r="I155" t="s">
        <v>1354</v>
      </c>
      <c r="J155" t="s">
        <v>1359</v>
      </c>
    </row>
    <row r="156" spans="1:10" x14ac:dyDescent="0.3">
      <c r="A156" s="21">
        <v>45738</v>
      </c>
      <c r="B156" t="s">
        <v>643</v>
      </c>
      <c r="C156" t="s">
        <v>24</v>
      </c>
      <c r="D156">
        <v>6</v>
      </c>
      <c r="E156">
        <v>675</v>
      </c>
      <c r="F156">
        <v>4050</v>
      </c>
      <c r="G156" t="s">
        <v>27</v>
      </c>
      <c r="H156">
        <v>2025</v>
      </c>
      <c r="I156" t="s">
        <v>1354</v>
      </c>
      <c r="J156" t="s">
        <v>1359</v>
      </c>
    </row>
    <row r="157" spans="1:10" x14ac:dyDescent="0.3">
      <c r="A157" s="21">
        <v>45739</v>
      </c>
      <c r="B157" t="s">
        <v>855</v>
      </c>
      <c r="C157" t="s">
        <v>14</v>
      </c>
      <c r="D157">
        <v>2</v>
      </c>
      <c r="E157">
        <v>864</v>
      </c>
      <c r="F157">
        <v>1728</v>
      </c>
      <c r="G157" t="s">
        <v>33</v>
      </c>
      <c r="H157">
        <v>2025</v>
      </c>
      <c r="I157" t="s">
        <v>1354</v>
      </c>
      <c r="J157" t="s">
        <v>1361</v>
      </c>
    </row>
    <row r="158" spans="1:10" x14ac:dyDescent="0.3">
      <c r="A158" s="21">
        <v>45739</v>
      </c>
      <c r="B158" t="s">
        <v>742</v>
      </c>
      <c r="C158" t="s">
        <v>24</v>
      </c>
      <c r="D158">
        <v>6</v>
      </c>
      <c r="E158">
        <v>642</v>
      </c>
      <c r="F158">
        <v>3852</v>
      </c>
      <c r="G158" t="s">
        <v>33</v>
      </c>
      <c r="H158">
        <v>2025</v>
      </c>
      <c r="I158" t="s">
        <v>1354</v>
      </c>
      <c r="J158" t="s">
        <v>1361</v>
      </c>
    </row>
    <row r="159" spans="1:10" x14ac:dyDescent="0.3">
      <c r="A159" s="21">
        <v>45740</v>
      </c>
      <c r="B159" t="s">
        <v>893</v>
      </c>
      <c r="C159" t="s">
        <v>18</v>
      </c>
      <c r="D159">
        <v>1</v>
      </c>
      <c r="E159">
        <v>190</v>
      </c>
      <c r="F159">
        <v>190</v>
      </c>
      <c r="G159" t="s">
        <v>19</v>
      </c>
      <c r="H159">
        <v>2025</v>
      </c>
      <c r="I159" t="s">
        <v>1354</v>
      </c>
      <c r="J159" t="s">
        <v>1363</v>
      </c>
    </row>
    <row r="160" spans="1:10" x14ac:dyDescent="0.3">
      <c r="A160" s="21">
        <v>45740</v>
      </c>
      <c r="B160" t="s">
        <v>653</v>
      </c>
      <c r="C160" t="s">
        <v>38</v>
      </c>
      <c r="D160">
        <v>2</v>
      </c>
      <c r="E160">
        <v>863</v>
      </c>
      <c r="F160">
        <v>1726</v>
      </c>
      <c r="G160" t="s">
        <v>7</v>
      </c>
      <c r="H160">
        <v>2025</v>
      </c>
      <c r="I160" t="s">
        <v>1354</v>
      </c>
      <c r="J160" t="s">
        <v>1363</v>
      </c>
    </row>
    <row r="161" spans="1:10" x14ac:dyDescent="0.3">
      <c r="A161" s="21">
        <v>45741</v>
      </c>
      <c r="B161" t="s">
        <v>214</v>
      </c>
      <c r="C161" t="s">
        <v>38</v>
      </c>
      <c r="D161">
        <v>2</v>
      </c>
      <c r="E161">
        <v>561</v>
      </c>
      <c r="F161">
        <v>1122</v>
      </c>
      <c r="G161" t="s">
        <v>33</v>
      </c>
      <c r="H161">
        <v>2025</v>
      </c>
      <c r="I161" t="s">
        <v>1354</v>
      </c>
      <c r="J161" t="s">
        <v>1353</v>
      </c>
    </row>
    <row r="162" spans="1:10" x14ac:dyDescent="0.3">
      <c r="A162" s="21">
        <v>45742</v>
      </c>
      <c r="B162" t="s">
        <v>982</v>
      </c>
      <c r="C162" t="s">
        <v>18</v>
      </c>
      <c r="D162">
        <v>1</v>
      </c>
      <c r="E162">
        <v>355</v>
      </c>
      <c r="F162">
        <v>355</v>
      </c>
      <c r="G162" t="s">
        <v>15</v>
      </c>
      <c r="H162">
        <v>2025</v>
      </c>
      <c r="I162" t="s">
        <v>1354</v>
      </c>
      <c r="J162" t="s">
        <v>1358</v>
      </c>
    </row>
    <row r="163" spans="1:10" x14ac:dyDescent="0.3">
      <c r="A163" s="21">
        <v>45742</v>
      </c>
      <c r="B163" t="s">
        <v>673</v>
      </c>
      <c r="C163" t="s">
        <v>14</v>
      </c>
      <c r="D163">
        <v>6</v>
      </c>
      <c r="E163">
        <v>190</v>
      </c>
      <c r="F163">
        <v>1140</v>
      </c>
      <c r="G163" t="s">
        <v>19</v>
      </c>
      <c r="H163">
        <v>2025</v>
      </c>
      <c r="I163" t="s">
        <v>1354</v>
      </c>
      <c r="J163" t="s">
        <v>1358</v>
      </c>
    </row>
    <row r="164" spans="1:10" x14ac:dyDescent="0.3">
      <c r="A164" s="21">
        <v>45743</v>
      </c>
      <c r="B164" t="s">
        <v>201</v>
      </c>
      <c r="C164" t="s">
        <v>24</v>
      </c>
      <c r="D164">
        <v>2</v>
      </c>
      <c r="E164">
        <v>371</v>
      </c>
      <c r="F164">
        <v>742</v>
      </c>
      <c r="G164" t="s">
        <v>19</v>
      </c>
      <c r="H164">
        <v>2025</v>
      </c>
      <c r="I164" t="s">
        <v>1354</v>
      </c>
      <c r="J164" t="s">
        <v>1356</v>
      </c>
    </row>
    <row r="165" spans="1:10" x14ac:dyDescent="0.3">
      <c r="A165" s="21">
        <v>45743</v>
      </c>
      <c r="B165" t="s">
        <v>337</v>
      </c>
      <c r="C165" t="s">
        <v>18</v>
      </c>
      <c r="D165">
        <v>6</v>
      </c>
      <c r="E165">
        <v>457</v>
      </c>
      <c r="F165">
        <v>2742</v>
      </c>
      <c r="G165" t="s">
        <v>11</v>
      </c>
      <c r="H165">
        <v>2025</v>
      </c>
      <c r="I165" t="s">
        <v>1354</v>
      </c>
      <c r="J165" t="s">
        <v>1356</v>
      </c>
    </row>
    <row r="166" spans="1:10" x14ac:dyDescent="0.3">
      <c r="A166" s="21">
        <v>45745</v>
      </c>
      <c r="B166" t="s">
        <v>769</v>
      </c>
      <c r="C166" t="s">
        <v>30</v>
      </c>
      <c r="D166">
        <v>2</v>
      </c>
      <c r="E166">
        <v>162</v>
      </c>
      <c r="F166">
        <v>324</v>
      </c>
      <c r="G166" t="s">
        <v>27</v>
      </c>
      <c r="H166">
        <v>2025</v>
      </c>
      <c r="I166" t="s">
        <v>1354</v>
      </c>
      <c r="J166" t="s">
        <v>1359</v>
      </c>
    </row>
    <row r="167" spans="1:10" x14ac:dyDescent="0.3">
      <c r="A167" s="21">
        <v>45745</v>
      </c>
      <c r="B167" t="s">
        <v>1154</v>
      </c>
      <c r="C167" t="s">
        <v>38</v>
      </c>
      <c r="D167">
        <v>4</v>
      </c>
      <c r="E167">
        <v>784</v>
      </c>
      <c r="F167">
        <v>3136</v>
      </c>
      <c r="G167" t="s">
        <v>11</v>
      </c>
      <c r="H167">
        <v>2025</v>
      </c>
      <c r="I167" t="s">
        <v>1354</v>
      </c>
      <c r="J167" t="s">
        <v>1359</v>
      </c>
    </row>
    <row r="168" spans="1:10" x14ac:dyDescent="0.3">
      <c r="A168" s="21">
        <v>45746</v>
      </c>
      <c r="B168" t="s">
        <v>240</v>
      </c>
      <c r="C168" t="s">
        <v>6</v>
      </c>
      <c r="D168">
        <v>3</v>
      </c>
      <c r="E168">
        <v>988</v>
      </c>
      <c r="F168">
        <v>2964</v>
      </c>
      <c r="G168" t="s">
        <v>27</v>
      </c>
      <c r="H168">
        <v>2025</v>
      </c>
      <c r="I168" t="s">
        <v>1354</v>
      </c>
      <c r="J168" t="s">
        <v>1361</v>
      </c>
    </row>
    <row r="169" spans="1:10" x14ac:dyDescent="0.3">
      <c r="A169" s="21">
        <v>45749</v>
      </c>
      <c r="B169" t="s">
        <v>967</v>
      </c>
      <c r="C169" t="s">
        <v>68</v>
      </c>
      <c r="D169">
        <v>3</v>
      </c>
      <c r="E169">
        <v>87</v>
      </c>
      <c r="F169">
        <v>261</v>
      </c>
      <c r="G169" t="s">
        <v>33</v>
      </c>
      <c r="H169">
        <v>2025</v>
      </c>
      <c r="I169" t="s">
        <v>1355</v>
      </c>
      <c r="J169" t="s">
        <v>1358</v>
      </c>
    </row>
    <row r="170" spans="1:10" x14ac:dyDescent="0.3">
      <c r="A170" s="21">
        <v>45749</v>
      </c>
      <c r="B170" t="s">
        <v>422</v>
      </c>
      <c r="C170" t="s">
        <v>24</v>
      </c>
      <c r="D170">
        <v>1</v>
      </c>
      <c r="E170">
        <v>596</v>
      </c>
      <c r="F170">
        <v>596</v>
      </c>
      <c r="G170" t="s">
        <v>7</v>
      </c>
      <c r="H170">
        <v>2025</v>
      </c>
      <c r="I170" t="s">
        <v>1355</v>
      </c>
      <c r="J170" t="s">
        <v>1358</v>
      </c>
    </row>
    <row r="171" spans="1:10" x14ac:dyDescent="0.3">
      <c r="A171" s="21">
        <v>45749</v>
      </c>
      <c r="B171" t="s">
        <v>966</v>
      </c>
      <c r="C171" t="s">
        <v>24</v>
      </c>
      <c r="D171">
        <v>3</v>
      </c>
      <c r="E171">
        <v>991</v>
      </c>
      <c r="F171">
        <v>2973</v>
      </c>
      <c r="G171" t="s">
        <v>19</v>
      </c>
      <c r="H171">
        <v>2025</v>
      </c>
      <c r="I171" t="s">
        <v>1355</v>
      </c>
      <c r="J171" t="s">
        <v>1358</v>
      </c>
    </row>
    <row r="172" spans="1:10" x14ac:dyDescent="0.3">
      <c r="A172" s="21">
        <v>45751</v>
      </c>
      <c r="B172" t="s">
        <v>26</v>
      </c>
      <c r="C172" t="s">
        <v>24</v>
      </c>
      <c r="D172">
        <v>4</v>
      </c>
      <c r="E172">
        <v>445</v>
      </c>
      <c r="F172">
        <v>1780</v>
      </c>
      <c r="G172" t="s">
        <v>27</v>
      </c>
      <c r="H172">
        <v>2025</v>
      </c>
      <c r="I172" t="s">
        <v>1355</v>
      </c>
      <c r="J172" t="s">
        <v>1366</v>
      </c>
    </row>
    <row r="173" spans="1:10" x14ac:dyDescent="0.3">
      <c r="A173" s="21">
        <v>45752</v>
      </c>
      <c r="B173" t="s">
        <v>1091</v>
      </c>
      <c r="C173" t="s">
        <v>18</v>
      </c>
      <c r="D173">
        <v>3</v>
      </c>
      <c r="E173">
        <v>352</v>
      </c>
      <c r="F173">
        <v>1056</v>
      </c>
      <c r="G173" t="s">
        <v>33</v>
      </c>
      <c r="H173">
        <v>2025</v>
      </c>
      <c r="I173" t="s">
        <v>1355</v>
      </c>
      <c r="J173" t="s">
        <v>1359</v>
      </c>
    </row>
    <row r="174" spans="1:10" x14ac:dyDescent="0.3">
      <c r="A174" s="21">
        <v>45753</v>
      </c>
      <c r="B174" t="s">
        <v>716</v>
      </c>
      <c r="C174" t="s">
        <v>38</v>
      </c>
      <c r="D174">
        <v>1</v>
      </c>
      <c r="E174">
        <v>427</v>
      </c>
      <c r="F174">
        <v>427</v>
      </c>
      <c r="G174" t="s">
        <v>7</v>
      </c>
      <c r="H174">
        <v>2025</v>
      </c>
      <c r="I174" t="s">
        <v>1355</v>
      </c>
      <c r="J174" t="s">
        <v>1361</v>
      </c>
    </row>
    <row r="175" spans="1:10" x14ac:dyDescent="0.3">
      <c r="A175" s="21">
        <v>45753</v>
      </c>
      <c r="B175" t="s">
        <v>1227</v>
      </c>
      <c r="C175" t="s">
        <v>65</v>
      </c>
      <c r="D175">
        <v>5</v>
      </c>
      <c r="E175">
        <v>186</v>
      </c>
      <c r="F175">
        <v>930</v>
      </c>
      <c r="G175" t="s">
        <v>7</v>
      </c>
      <c r="H175">
        <v>2025</v>
      </c>
      <c r="I175" t="s">
        <v>1355</v>
      </c>
      <c r="J175" t="s">
        <v>1361</v>
      </c>
    </row>
    <row r="176" spans="1:10" x14ac:dyDescent="0.3">
      <c r="A176" s="21">
        <v>45754</v>
      </c>
      <c r="B176" t="s">
        <v>1257</v>
      </c>
      <c r="C176" t="s">
        <v>65</v>
      </c>
      <c r="D176">
        <v>1</v>
      </c>
      <c r="E176">
        <v>404</v>
      </c>
      <c r="F176">
        <v>404</v>
      </c>
      <c r="G176" t="s">
        <v>15</v>
      </c>
      <c r="H176">
        <v>2025</v>
      </c>
      <c r="I176" t="s">
        <v>1355</v>
      </c>
      <c r="J176" t="s">
        <v>1363</v>
      </c>
    </row>
    <row r="177" spans="1:10" x14ac:dyDescent="0.3">
      <c r="A177" s="21">
        <v>45754</v>
      </c>
      <c r="B177" t="s">
        <v>875</v>
      </c>
      <c r="C177" t="s">
        <v>38</v>
      </c>
      <c r="D177">
        <v>4</v>
      </c>
      <c r="E177">
        <v>130</v>
      </c>
      <c r="F177">
        <v>520</v>
      </c>
      <c r="G177" t="s">
        <v>15</v>
      </c>
      <c r="H177">
        <v>2025</v>
      </c>
      <c r="I177" t="s">
        <v>1355</v>
      </c>
      <c r="J177" t="s">
        <v>1363</v>
      </c>
    </row>
    <row r="178" spans="1:10" x14ac:dyDescent="0.3">
      <c r="A178" s="21">
        <v>45754</v>
      </c>
      <c r="B178" t="s">
        <v>363</v>
      </c>
      <c r="C178" t="s">
        <v>30</v>
      </c>
      <c r="D178">
        <v>2</v>
      </c>
      <c r="E178">
        <v>527</v>
      </c>
      <c r="F178">
        <v>1054</v>
      </c>
      <c r="G178" t="s">
        <v>11</v>
      </c>
      <c r="H178">
        <v>2025</v>
      </c>
      <c r="I178" t="s">
        <v>1355</v>
      </c>
      <c r="J178" t="s">
        <v>1363</v>
      </c>
    </row>
    <row r="179" spans="1:10" x14ac:dyDescent="0.3">
      <c r="A179" s="21">
        <v>45755</v>
      </c>
      <c r="B179" t="s">
        <v>427</v>
      </c>
      <c r="C179" t="s">
        <v>65</v>
      </c>
      <c r="D179">
        <v>5</v>
      </c>
      <c r="E179">
        <v>222</v>
      </c>
      <c r="F179">
        <v>1110</v>
      </c>
      <c r="G179" t="s">
        <v>33</v>
      </c>
      <c r="H179">
        <v>2025</v>
      </c>
      <c r="I179" t="s">
        <v>1355</v>
      </c>
      <c r="J179" t="s">
        <v>1353</v>
      </c>
    </row>
    <row r="180" spans="1:10" x14ac:dyDescent="0.3">
      <c r="A180" s="21">
        <v>45755</v>
      </c>
      <c r="B180" t="s">
        <v>887</v>
      </c>
      <c r="C180" t="s">
        <v>38</v>
      </c>
      <c r="D180">
        <v>3</v>
      </c>
      <c r="E180">
        <v>897</v>
      </c>
      <c r="F180">
        <v>2691</v>
      </c>
      <c r="G180" t="s">
        <v>11</v>
      </c>
      <c r="H180">
        <v>2025</v>
      </c>
      <c r="I180" t="s">
        <v>1355</v>
      </c>
      <c r="J180" t="s">
        <v>1353</v>
      </c>
    </row>
    <row r="181" spans="1:10" x14ac:dyDescent="0.3">
      <c r="A181" s="21">
        <v>45755</v>
      </c>
      <c r="B181" t="s">
        <v>1252</v>
      </c>
      <c r="C181" t="s">
        <v>68</v>
      </c>
      <c r="D181">
        <v>6</v>
      </c>
      <c r="E181">
        <v>893</v>
      </c>
      <c r="F181">
        <v>5358</v>
      </c>
      <c r="G181" t="s">
        <v>19</v>
      </c>
      <c r="H181">
        <v>2025</v>
      </c>
      <c r="I181" t="s">
        <v>1355</v>
      </c>
      <c r="J181" t="s">
        <v>1353</v>
      </c>
    </row>
    <row r="182" spans="1:10" x14ac:dyDescent="0.3">
      <c r="A182" s="21">
        <v>45756</v>
      </c>
      <c r="B182" t="s">
        <v>941</v>
      </c>
      <c r="C182" t="s">
        <v>30</v>
      </c>
      <c r="D182">
        <v>2</v>
      </c>
      <c r="E182">
        <v>342</v>
      </c>
      <c r="F182">
        <v>684</v>
      </c>
      <c r="G182" t="s">
        <v>19</v>
      </c>
      <c r="H182">
        <v>2025</v>
      </c>
      <c r="I182" t="s">
        <v>1355</v>
      </c>
      <c r="J182" t="s">
        <v>1358</v>
      </c>
    </row>
    <row r="183" spans="1:10" x14ac:dyDescent="0.3">
      <c r="A183" s="21">
        <v>45756</v>
      </c>
      <c r="B183" t="s">
        <v>313</v>
      </c>
      <c r="C183" t="s">
        <v>68</v>
      </c>
      <c r="D183">
        <v>2</v>
      </c>
      <c r="E183">
        <v>555</v>
      </c>
      <c r="F183">
        <v>1110</v>
      </c>
      <c r="G183" t="s">
        <v>15</v>
      </c>
      <c r="H183">
        <v>2025</v>
      </c>
      <c r="I183" t="s">
        <v>1355</v>
      </c>
      <c r="J183" t="s">
        <v>1358</v>
      </c>
    </row>
    <row r="184" spans="1:10" x14ac:dyDescent="0.3">
      <c r="A184" s="21">
        <v>45757</v>
      </c>
      <c r="B184" t="s">
        <v>270</v>
      </c>
      <c r="C184" t="s">
        <v>10</v>
      </c>
      <c r="D184">
        <v>3</v>
      </c>
      <c r="E184">
        <v>405</v>
      </c>
      <c r="F184">
        <v>1215</v>
      </c>
      <c r="G184" t="s">
        <v>11</v>
      </c>
      <c r="H184">
        <v>2025</v>
      </c>
      <c r="I184" t="s">
        <v>1355</v>
      </c>
      <c r="J184" t="s">
        <v>1356</v>
      </c>
    </row>
    <row r="185" spans="1:10" x14ac:dyDescent="0.3">
      <c r="A185" s="21">
        <v>45758</v>
      </c>
      <c r="B185" t="s">
        <v>896</v>
      </c>
      <c r="C185" t="s">
        <v>38</v>
      </c>
      <c r="D185">
        <v>1</v>
      </c>
      <c r="E185">
        <v>680</v>
      </c>
      <c r="F185">
        <v>680</v>
      </c>
      <c r="G185" t="s">
        <v>33</v>
      </c>
      <c r="H185">
        <v>2025</v>
      </c>
      <c r="I185" t="s">
        <v>1355</v>
      </c>
      <c r="J185" t="s">
        <v>1366</v>
      </c>
    </row>
    <row r="186" spans="1:10" x14ac:dyDescent="0.3">
      <c r="A186" s="21">
        <v>45762</v>
      </c>
      <c r="B186" t="s">
        <v>350</v>
      </c>
      <c r="C186" t="s">
        <v>30</v>
      </c>
      <c r="D186">
        <v>3</v>
      </c>
      <c r="E186">
        <v>469</v>
      </c>
      <c r="F186">
        <v>1407</v>
      </c>
      <c r="G186" t="s">
        <v>33</v>
      </c>
      <c r="H186">
        <v>2025</v>
      </c>
      <c r="I186" t="s">
        <v>1355</v>
      </c>
      <c r="J186" t="s">
        <v>1353</v>
      </c>
    </row>
    <row r="187" spans="1:10" x14ac:dyDescent="0.3">
      <c r="A187" s="21">
        <v>45764</v>
      </c>
      <c r="B187" t="s">
        <v>1061</v>
      </c>
      <c r="C187" t="s">
        <v>65</v>
      </c>
      <c r="D187">
        <v>3</v>
      </c>
      <c r="E187">
        <v>636</v>
      </c>
      <c r="F187">
        <v>1908</v>
      </c>
      <c r="G187" t="s">
        <v>7</v>
      </c>
      <c r="H187">
        <v>2025</v>
      </c>
      <c r="I187" t="s">
        <v>1355</v>
      </c>
      <c r="J187" t="s">
        <v>1356</v>
      </c>
    </row>
    <row r="188" spans="1:10" x14ac:dyDescent="0.3">
      <c r="A188" s="21">
        <v>45764</v>
      </c>
      <c r="B188" t="s">
        <v>111</v>
      </c>
      <c r="C188" t="s">
        <v>38</v>
      </c>
      <c r="D188">
        <v>6</v>
      </c>
      <c r="E188">
        <v>983</v>
      </c>
      <c r="F188">
        <v>5898</v>
      </c>
      <c r="G188" t="s">
        <v>15</v>
      </c>
      <c r="H188">
        <v>2025</v>
      </c>
      <c r="I188" t="s">
        <v>1355</v>
      </c>
      <c r="J188" t="s">
        <v>1356</v>
      </c>
    </row>
    <row r="189" spans="1:10" x14ac:dyDescent="0.3">
      <c r="A189" s="21">
        <v>45766</v>
      </c>
      <c r="B189" t="s">
        <v>812</v>
      </c>
      <c r="C189" t="s">
        <v>24</v>
      </c>
      <c r="D189">
        <v>4</v>
      </c>
      <c r="E189">
        <v>520</v>
      </c>
      <c r="F189">
        <v>2080</v>
      </c>
      <c r="G189" t="s">
        <v>7</v>
      </c>
      <c r="H189">
        <v>2025</v>
      </c>
      <c r="I189" t="s">
        <v>1355</v>
      </c>
      <c r="J189" t="s">
        <v>1359</v>
      </c>
    </row>
    <row r="190" spans="1:10" x14ac:dyDescent="0.3">
      <c r="A190" s="21">
        <v>45768</v>
      </c>
      <c r="B190" t="s">
        <v>56</v>
      </c>
      <c r="C190" t="s">
        <v>18</v>
      </c>
      <c r="D190">
        <v>2</v>
      </c>
      <c r="E190">
        <v>484</v>
      </c>
      <c r="F190">
        <v>968</v>
      </c>
      <c r="G190" t="s">
        <v>27</v>
      </c>
      <c r="H190">
        <v>2025</v>
      </c>
      <c r="I190" t="s">
        <v>1355</v>
      </c>
      <c r="J190" t="s">
        <v>1363</v>
      </c>
    </row>
    <row r="191" spans="1:10" x14ac:dyDescent="0.3">
      <c r="A191" s="21">
        <v>45769</v>
      </c>
      <c r="B191" t="s">
        <v>1035</v>
      </c>
      <c r="C191" t="s">
        <v>10</v>
      </c>
      <c r="D191">
        <v>5</v>
      </c>
      <c r="E191">
        <v>577</v>
      </c>
      <c r="F191">
        <v>2885</v>
      </c>
      <c r="G191" t="s">
        <v>15</v>
      </c>
      <c r="H191">
        <v>2025</v>
      </c>
      <c r="I191" t="s">
        <v>1355</v>
      </c>
      <c r="J191" t="s">
        <v>1353</v>
      </c>
    </row>
    <row r="192" spans="1:10" x14ac:dyDescent="0.3">
      <c r="A192" s="21">
        <v>45769</v>
      </c>
      <c r="B192" t="s">
        <v>250</v>
      </c>
      <c r="C192" t="s">
        <v>30</v>
      </c>
      <c r="D192">
        <v>6</v>
      </c>
      <c r="E192">
        <v>923</v>
      </c>
      <c r="F192">
        <v>5538</v>
      </c>
      <c r="G192" t="s">
        <v>15</v>
      </c>
      <c r="H192">
        <v>2025</v>
      </c>
      <c r="I192" t="s">
        <v>1355</v>
      </c>
      <c r="J192" t="s">
        <v>1353</v>
      </c>
    </row>
    <row r="193" spans="1:10" x14ac:dyDescent="0.3">
      <c r="A193" s="21">
        <v>45770</v>
      </c>
      <c r="B193" t="s">
        <v>1068</v>
      </c>
      <c r="C193" t="s">
        <v>18</v>
      </c>
      <c r="D193">
        <v>5</v>
      </c>
      <c r="E193">
        <v>113</v>
      </c>
      <c r="F193">
        <v>565</v>
      </c>
      <c r="G193" t="s">
        <v>11</v>
      </c>
      <c r="H193">
        <v>2025</v>
      </c>
      <c r="I193" t="s">
        <v>1355</v>
      </c>
      <c r="J193" t="s">
        <v>1358</v>
      </c>
    </row>
    <row r="194" spans="1:10" x14ac:dyDescent="0.3">
      <c r="A194" s="21">
        <v>45770</v>
      </c>
      <c r="B194" t="s">
        <v>751</v>
      </c>
      <c r="C194" t="s">
        <v>14</v>
      </c>
      <c r="D194">
        <v>3</v>
      </c>
      <c r="E194">
        <v>224</v>
      </c>
      <c r="F194">
        <v>672</v>
      </c>
      <c r="G194" t="s">
        <v>19</v>
      </c>
      <c r="H194">
        <v>2025</v>
      </c>
      <c r="I194" t="s">
        <v>1355</v>
      </c>
      <c r="J194" t="s">
        <v>1358</v>
      </c>
    </row>
    <row r="195" spans="1:10" x14ac:dyDescent="0.3">
      <c r="A195" s="21">
        <v>45771</v>
      </c>
      <c r="B195" t="s">
        <v>452</v>
      </c>
      <c r="C195" t="s">
        <v>38</v>
      </c>
      <c r="D195">
        <v>1</v>
      </c>
      <c r="E195">
        <v>934</v>
      </c>
      <c r="F195">
        <v>934</v>
      </c>
      <c r="G195" t="s">
        <v>7</v>
      </c>
      <c r="H195">
        <v>2025</v>
      </c>
      <c r="I195" t="s">
        <v>1355</v>
      </c>
      <c r="J195" t="s">
        <v>1356</v>
      </c>
    </row>
    <row r="196" spans="1:10" x14ac:dyDescent="0.3">
      <c r="A196" s="21">
        <v>45772</v>
      </c>
      <c r="B196" t="s">
        <v>981</v>
      </c>
      <c r="C196" t="s">
        <v>18</v>
      </c>
      <c r="D196">
        <v>3</v>
      </c>
      <c r="E196">
        <v>59</v>
      </c>
      <c r="F196">
        <v>177</v>
      </c>
      <c r="G196" t="s">
        <v>7</v>
      </c>
      <c r="H196">
        <v>2025</v>
      </c>
      <c r="I196" t="s">
        <v>1355</v>
      </c>
      <c r="J196" t="s">
        <v>1366</v>
      </c>
    </row>
    <row r="197" spans="1:10" x14ac:dyDescent="0.3">
      <c r="A197" s="21">
        <v>45772</v>
      </c>
      <c r="B197" t="s">
        <v>934</v>
      </c>
      <c r="C197" t="s">
        <v>38</v>
      </c>
      <c r="D197">
        <v>2</v>
      </c>
      <c r="E197">
        <v>716</v>
      </c>
      <c r="F197">
        <v>1432</v>
      </c>
      <c r="G197" t="s">
        <v>19</v>
      </c>
      <c r="H197">
        <v>2025</v>
      </c>
      <c r="I197" t="s">
        <v>1355</v>
      </c>
      <c r="J197" t="s">
        <v>1366</v>
      </c>
    </row>
    <row r="198" spans="1:10" x14ac:dyDescent="0.3">
      <c r="A198" s="21">
        <v>45776</v>
      </c>
      <c r="B198" t="s">
        <v>550</v>
      </c>
      <c r="C198" t="s">
        <v>79</v>
      </c>
      <c r="D198">
        <v>1</v>
      </c>
      <c r="E198">
        <v>213</v>
      </c>
      <c r="F198">
        <v>213</v>
      </c>
      <c r="G198" t="s">
        <v>11</v>
      </c>
      <c r="H198">
        <v>2025</v>
      </c>
      <c r="I198" t="s">
        <v>1355</v>
      </c>
      <c r="J198" t="s">
        <v>1353</v>
      </c>
    </row>
    <row r="199" spans="1:10" x14ac:dyDescent="0.3">
      <c r="A199" s="21">
        <v>45777</v>
      </c>
      <c r="B199" t="s">
        <v>991</v>
      </c>
      <c r="C199" t="s">
        <v>10</v>
      </c>
      <c r="D199">
        <v>5</v>
      </c>
      <c r="E199">
        <v>706</v>
      </c>
      <c r="F199">
        <v>3530</v>
      </c>
      <c r="G199" t="s">
        <v>7</v>
      </c>
      <c r="H199">
        <v>2025</v>
      </c>
      <c r="I199" t="s">
        <v>1355</v>
      </c>
      <c r="J199" t="s">
        <v>1358</v>
      </c>
    </row>
    <row r="200" spans="1:10" x14ac:dyDescent="0.3">
      <c r="A200" s="21">
        <v>45778</v>
      </c>
      <c r="B200" t="s">
        <v>1151</v>
      </c>
      <c r="C200" t="s">
        <v>18</v>
      </c>
      <c r="D200">
        <v>4</v>
      </c>
      <c r="E200">
        <v>169</v>
      </c>
      <c r="F200">
        <v>676</v>
      </c>
      <c r="G200" t="s">
        <v>19</v>
      </c>
      <c r="H200">
        <v>2025</v>
      </c>
      <c r="I200" t="s">
        <v>1368</v>
      </c>
      <c r="J200" t="s">
        <v>1356</v>
      </c>
    </row>
    <row r="201" spans="1:10" x14ac:dyDescent="0.3">
      <c r="A201" s="21">
        <v>45778</v>
      </c>
      <c r="B201" t="s">
        <v>1268</v>
      </c>
      <c r="C201" t="s">
        <v>14</v>
      </c>
      <c r="D201">
        <v>5</v>
      </c>
      <c r="E201">
        <v>726</v>
      </c>
      <c r="F201">
        <v>3630</v>
      </c>
      <c r="G201" t="s">
        <v>27</v>
      </c>
      <c r="H201">
        <v>2025</v>
      </c>
      <c r="I201" t="s">
        <v>1368</v>
      </c>
      <c r="J201" t="s">
        <v>1356</v>
      </c>
    </row>
    <row r="202" spans="1:10" x14ac:dyDescent="0.3">
      <c r="A202" s="21">
        <v>45779</v>
      </c>
      <c r="B202" t="s">
        <v>943</v>
      </c>
      <c r="C202" t="s">
        <v>79</v>
      </c>
      <c r="D202">
        <v>4</v>
      </c>
      <c r="E202">
        <v>110</v>
      </c>
      <c r="F202">
        <v>440</v>
      </c>
      <c r="G202" t="s">
        <v>27</v>
      </c>
      <c r="H202">
        <v>2025</v>
      </c>
      <c r="I202" t="s">
        <v>1368</v>
      </c>
      <c r="J202" t="s">
        <v>1366</v>
      </c>
    </row>
    <row r="203" spans="1:10" x14ac:dyDescent="0.3">
      <c r="A203" s="21">
        <v>45779</v>
      </c>
      <c r="B203" t="s">
        <v>329</v>
      </c>
      <c r="C203" t="s">
        <v>24</v>
      </c>
      <c r="D203">
        <v>6</v>
      </c>
      <c r="E203">
        <v>676</v>
      </c>
      <c r="F203">
        <v>4056</v>
      </c>
      <c r="G203" t="s">
        <v>7</v>
      </c>
      <c r="H203">
        <v>2025</v>
      </c>
      <c r="I203" t="s">
        <v>1368</v>
      </c>
      <c r="J203" t="s">
        <v>1366</v>
      </c>
    </row>
    <row r="204" spans="1:10" x14ac:dyDescent="0.3">
      <c r="A204" s="21">
        <v>45780</v>
      </c>
      <c r="B204" t="s">
        <v>1088</v>
      </c>
      <c r="C204" t="s">
        <v>14</v>
      </c>
      <c r="D204">
        <v>6</v>
      </c>
      <c r="E204">
        <v>170</v>
      </c>
      <c r="F204">
        <v>1020</v>
      </c>
      <c r="G204" t="s">
        <v>15</v>
      </c>
      <c r="H204">
        <v>2025</v>
      </c>
      <c r="I204" t="s">
        <v>1368</v>
      </c>
      <c r="J204" t="s">
        <v>1359</v>
      </c>
    </row>
    <row r="205" spans="1:10" x14ac:dyDescent="0.3">
      <c r="A205" s="21">
        <v>45781</v>
      </c>
      <c r="B205" t="s">
        <v>600</v>
      </c>
      <c r="C205" t="s">
        <v>14</v>
      </c>
      <c r="D205">
        <v>1</v>
      </c>
      <c r="E205">
        <v>599</v>
      </c>
      <c r="F205">
        <v>599</v>
      </c>
      <c r="G205" t="s">
        <v>11</v>
      </c>
      <c r="H205">
        <v>2025</v>
      </c>
      <c r="I205" t="s">
        <v>1368</v>
      </c>
      <c r="J205" t="s">
        <v>1361</v>
      </c>
    </row>
    <row r="206" spans="1:10" x14ac:dyDescent="0.3">
      <c r="A206" s="21">
        <v>45781</v>
      </c>
      <c r="B206" t="s">
        <v>1298</v>
      </c>
      <c r="C206" t="s">
        <v>65</v>
      </c>
      <c r="D206">
        <v>2</v>
      </c>
      <c r="E206">
        <v>844</v>
      </c>
      <c r="F206">
        <v>1688</v>
      </c>
      <c r="G206" t="s">
        <v>11</v>
      </c>
      <c r="H206">
        <v>2025</v>
      </c>
      <c r="I206" t="s">
        <v>1368</v>
      </c>
      <c r="J206" t="s">
        <v>1361</v>
      </c>
    </row>
    <row r="207" spans="1:10" x14ac:dyDescent="0.3">
      <c r="A207" s="21">
        <v>45781</v>
      </c>
      <c r="B207" t="s">
        <v>1013</v>
      </c>
      <c r="C207" t="s">
        <v>24</v>
      </c>
      <c r="D207">
        <v>6</v>
      </c>
      <c r="E207">
        <v>713</v>
      </c>
      <c r="F207">
        <v>4278</v>
      </c>
      <c r="G207" t="s">
        <v>27</v>
      </c>
      <c r="H207">
        <v>2025</v>
      </c>
      <c r="I207" t="s">
        <v>1368</v>
      </c>
      <c r="J207" t="s">
        <v>1361</v>
      </c>
    </row>
    <row r="208" spans="1:10" x14ac:dyDescent="0.3">
      <c r="A208" s="21">
        <v>45782</v>
      </c>
      <c r="B208" t="s">
        <v>190</v>
      </c>
      <c r="C208" t="s">
        <v>68</v>
      </c>
      <c r="D208">
        <v>3</v>
      </c>
      <c r="E208">
        <v>128</v>
      </c>
      <c r="F208">
        <v>384</v>
      </c>
      <c r="G208" t="s">
        <v>11</v>
      </c>
      <c r="H208">
        <v>2025</v>
      </c>
      <c r="I208" t="s">
        <v>1368</v>
      </c>
      <c r="J208" t="s">
        <v>1363</v>
      </c>
    </row>
    <row r="209" spans="1:10" x14ac:dyDescent="0.3">
      <c r="A209" s="21">
        <v>45785</v>
      </c>
      <c r="B209" t="s">
        <v>872</v>
      </c>
      <c r="C209" t="s">
        <v>38</v>
      </c>
      <c r="D209">
        <v>1</v>
      </c>
      <c r="E209">
        <v>93</v>
      </c>
      <c r="F209">
        <v>93</v>
      </c>
      <c r="G209" t="s">
        <v>19</v>
      </c>
      <c r="H209">
        <v>2025</v>
      </c>
      <c r="I209" t="s">
        <v>1368</v>
      </c>
      <c r="J209" t="s">
        <v>1356</v>
      </c>
    </row>
    <row r="210" spans="1:10" x14ac:dyDescent="0.3">
      <c r="A210" s="21">
        <v>45785</v>
      </c>
      <c r="B210" t="s">
        <v>1251</v>
      </c>
      <c r="C210" t="s">
        <v>24</v>
      </c>
      <c r="D210">
        <v>2</v>
      </c>
      <c r="E210">
        <v>438</v>
      </c>
      <c r="F210">
        <v>876</v>
      </c>
      <c r="G210" t="s">
        <v>19</v>
      </c>
      <c r="H210">
        <v>2025</v>
      </c>
      <c r="I210" t="s">
        <v>1368</v>
      </c>
      <c r="J210" t="s">
        <v>1356</v>
      </c>
    </row>
    <row r="211" spans="1:10" x14ac:dyDescent="0.3">
      <c r="A211" s="21">
        <v>45785</v>
      </c>
      <c r="B211" t="s">
        <v>1107</v>
      </c>
      <c r="C211" t="s">
        <v>68</v>
      </c>
      <c r="D211">
        <v>3</v>
      </c>
      <c r="E211">
        <v>768</v>
      </c>
      <c r="F211">
        <v>2304</v>
      </c>
      <c r="G211" t="s">
        <v>7</v>
      </c>
      <c r="H211">
        <v>2025</v>
      </c>
      <c r="I211" t="s">
        <v>1368</v>
      </c>
      <c r="J211" t="s">
        <v>1356</v>
      </c>
    </row>
    <row r="212" spans="1:10" x14ac:dyDescent="0.3">
      <c r="A212" s="21">
        <v>45787</v>
      </c>
      <c r="B212" t="s">
        <v>224</v>
      </c>
      <c r="C212" t="s">
        <v>24</v>
      </c>
      <c r="D212">
        <v>6</v>
      </c>
      <c r="E212">
        <v>170</v>
      </c>
      <c r="F212">
        <v>1020</v>
      </c>
      <c r="G212" t="s">
        <v>33</v>
      </c>
      <c r="H212">
        <v>2025</v>
      </c>
      <c r="I212" t="s">
        <v>1368</v>
      </c>
      <c r="J212" t="s">
        <v>1359</v>
      </c>
    </row>
    <row r="213" spans="1:10" x14ac:dyDescent="0.3">
      <c r="A213" s="21">
        <v>45788</v>
      </c>
      <c r="B213" t="s">
        <v>1173</v>
      </c>
      <c r="C213" t="s">
        <v>6</v>
      </c>
      <c r="D213">
        <v>1</v>
      </c>
      <c r="E213">
        <v>523</v>
      </c>
      <c r="F213">
        <v>523</v>
      </c>
      <c r="G213" t="s">
        <v>11</v>
      </c>
      <c r="H213">
        <v>2025</v>
      </c>
      <c r="I213" t="s">
        <v>1368</v>
      </c>
      <c r="J213" t="s">
        <v>1361</v>
      </c>
    </row>
    <row r="214" spans="1:10" x14ac:dyDescent="0.3">
      <c r="A214" s="21">
        <v>45789</v>
      </c>
      <c r="B214" t="s">
        <v>567</v>
      </c>
      <c r="C214" t="s">
        <v>14</v>
      </c>
      <c r="D214">
        <v>2</v>
      </c>
      <c r="E214">
        <v>528</v>
      </c>
      <c r="F214">
        <v>1056</v>
      </c>
      <c r="G214" t="s">
        <v>33</v>
      </c>
      <c r="H214">
        <v>2025</v>
      </c>
      <c r="I214" t="s">
        <v>1368</v>
      </c>
      <c r="J214" t="s">
        <v>1363</v>
      </c>
    </row>
    <row r="215" spans="1:10" x14ac:dyDescent="0.3">
      <c r="A215" s="21">
        <v>45789</v>
      </c>
      <c r="B215" t="s">
        <v>883</v>
      </c>
      <c r="C215" t="s">
        <v>10</v>
      </c>
      <c r="D215">
        <v>3</v>
      </c>
      <c r="E215">
        <v>815</v>
      </c>
      <c r="F215">
        <v>2445</v>
      </c>
      <c r="G215" t="s">
        <v>15</v>
      </c>
      <c r="H215">
        <v>2025</v>
      </c>
      <c r="I215" t="s">
        <v>1368</v>
      </c>
      <c r="J215" t="s">
        <v>1363</v>
      </c>
    </row>
    <row r="216" spans="1:10" x14ac:dyDescent="0.3">
      <c r="A216" s="21">
        <v>45789</v>
      </c>
      <c r="B216" t="s">
        <v>35</v>
      </c>
      <c r="C216" t="s">
        <v>6</v>
      </c>
      <c r="D216">
        <v>5</v>
      </c>
      <c r="E216">
        <v>558</v>
      </c>
      <c r="F216">
        <v>2790</v>
      </c>
      <c r="G216" t="s">
        <v>15</v>
      </c>
      <c r="H216">
        <v>2025</v>
      </c>
      <c r="I216" t="s">
        <v>1368</v>
      </c>
      <c r="J216" t="s">
        <v>1363</v>
      </c>
    </row>
    <row r="217" spans="1:10" x14ac:dyDescent="0.3">
      <c r="A217" s="21">
        <v>45789</v>
      </c>
      <c r="B217" t="s">
        <v>256</v>
      </c>
      <c r="C217" t="s">
        <v>6</v>
      </c>
      <c r="D217">
        <v>4</v>
      </c>
      <c r="E217">
        <v>970</v>
      </c>
      <c r="F217">
        <v>3880</v>
      </c>
      <c r="G217" t="s">
        <v>11</v>
      </c>
      <c r="H217">
        <v>2025</v>
      </c>
      <c r="I217" t="s">
        <v>1368</v>
      </c>
      <c r="J217" t="s">
        <v>1363</v>
      </c>
    </row>
    <row r="218" spans="1:10" x14ac:dyDescent="0.3">
      <c r="A218" s="21">
        <v>45790</v>
      </c>
      <c r="B218" t="s">
        <v>1215</v>
      </c>
      <c r="C218" t="s">
        <v>14</v>
      </c>
      <c r="D218">
        <v>6</v>
      </c>
      <c r="E218">
        <v>441</v>
      </c>
      <c r="F218">
        <v>2646</v>
      </c>
      <c r="G218" t="s">
        <v>11</v>
      </c>
      <c r="H218">
        <v>2025</v>
      </c>
      <c r="I218" t="s">
        <v>1368</v>
      </c>
      <c r="J218" t="s">
        <v>1353</v>
      </c>
    </row>
    <row r="219" spans="1:10" x14ac:dyDescent="0.3">
      <c r="A219" s="21">
        <v>45791</v>
      </c>
      <c r="B219" t="s">
        <v>1210</v>
      </c>
      <c r="C219" t="s">
        <v>14</v>
      </c>
      <c r="D219">
        <v>1</v>
      </c>
      <c r="E219">
        <v>796</v>
      </c>
      <c r="F219">
        <v>796</v>
      </c>
      <c r="G219" t="s">
        <v>19</v>
      </c>
      <c r="H219">
        <v>2025</v>
      </c>
      <c r="I219" t="s">
        <v>1368</v>
      </c>
      <c r="J219" t="s">
        <v>1358</v>
      </c>
    </row>
    <row r="220" spans="1:10" x14ac:dyDescent="0.3">
      <c r="A220" s="21">
        <v>45791</v>
      </c>
      <c r="B220" t="s">
        <v>319</v>
      </c>
      <c r="C220" t="s">
        <v>6</v>
      </c>
      <c r="D220">
        <v>6</v>
      </c>
      <c r="E220">
        <v>636</v>
      </c>
      <c r="F220">
        <v>3816</v>
      </c>
      <c r="G220" t="s">
        <v>19</v>
      </c>
      <c r="H220">
        <v>2025</v>
      </c>
      <c r="I220" t="s">
        <v>1368</v>
      </c>
      <c r="J220" t="s">
        <v>1358</v>
      </c>
    </row>
    <row r="221" spans="1:10" x14ac:dyDescent="0.3">
      <c r="A221" s="21">
        <v>45792</v>
      </c>
      <c r="B221" t="s">
        <v>115</v>
      </c>
      <c r="C221" t="s">
        <v>6</v>
      </c>
      <c r="D221">
        <v>4</v>
      </c>
      <c r="E221">
        <v>679</v>
      </c>
      <c r="F221">
        <v>2716</v>
      </c>
      <c r="G221" t="s">
        <v>33</v>
      </c>
      <c r="H221">
        <v>2025</v>
      </c>
      <c r="I221" t="s">
        <v>1368</v>
      </c>
      <c r="J221" t="s">
        <v>1356</v>
      </c>
    </row>
    <row r="222" spans="1:10" x14ac:dyDescent="0.3">
      <c r="A222" s="21">
        <v>45793</v>
      </c>
      <c r="B222" t="s">
        <v>1300</v>
      </c>
      <c r="C222" t="s">
        <v>10</v>
      </c>
      <c r="D222">
        <v>5</v>
      </c>
      <c r="E222">
        <v>565</v>
      </c>
      <c r="F222">
        <v>2825</v>
      </c>
      <c r="G222" t="s">
        <v>27</v>
      </c>
      <c r="H222">
        <v>2025</v>
      </c>
      <c r="I222" t="s">
        <v>1368</v>
      </c>
      <c r="J222" t="s">
        <v>1366</v>
      </c>
    </row>
    <row r="223" spans="1:10" x14ac:dyDescent="0.3">
      <c r="A223" s="21">
        <v>45794</v>
      </c>
      <c r="B223" t="s">
        <v>378</v>
      </c>
      <c r="C223" t="s">
        <v>6</v>
      </c>
      <c r="D223">
        <v>6</v>
      </c>
      <c r="E223">
        <v>236</v>
      </c>
      <c r="F223">
        <v>1416</v>
      </c>
      <c r="G223" t="s">
        <v>11</v>
      </c>
      <c r="H223">
        <v>2025</v>
      </c>
      <c r="I223" t="s">
        <v>1368</v>
      </c>
      <c r="J223" t="s">
        <v>1359</v>
      </c>
    </row>
    <row r="224" spans="1:10" x14ac:dyDescent="0.3">
      <c r="A224" s="21">
        <v>45795</v>
      </c>
      <c r="B224" t="s">
        <v>1011</v>
      </c>
      <c r="C224" t="s">
        <v>24</v>
      </c>
      <c r="D224">
        <v>1</v>
      </c>
      <c r="E224">
        <v>798</v>
      </c>
      <c r="F224">
        <v>798</v>
      </c>
      <c r="G224" t="s">
        <v>11</v>
      </c>
      <c r="H224">
        <v>2025</v>
      </c>
      <c r="I224" t="s">
        <v>1368</v>
      </c>
      <c r="J224" t="s">
        <v>1361</v>
      </c>
    </row>
    <row r="225" spans="1:10" x14ac:dyDescent="0.3">
      <c r="A225" s="21">
        <v>45795</v>
      </c>
      <c r="B225" t="s">
        <v>438</v>
      </c>
      <c r="C225" t="s">
        <v>30</v>
      </c>
      <c r="D225">
        <v>6</v>
      </c>
      <c r="E225">
        <v>973</v>
      </c>
      <c r="F225">
        <v>5838</v>
      </c>
      <c r="G225" t="s">
        <v>11</v>
      </c>
      <c r="H225">
        <v>2025</v>
      </c>
      <c r="I225" t="s">
        <v>1368</v>
      </c>
      <c r="J225" t="s">
        <v>1361</v>
      </c>
    </row>
    <row r="226" spans="1:10" x14ac:dyDescent="0.3">
      <c r="A226" s="21">
        <v>45796</v>
      </c>
      <c r="B226" t="s">
        <v>819</v>
      </c>
      <c r="C226" t="s">
        <v>6</v>
      </c>
      <c r="D226">
        <v>3</v>
      </c>
      <c r="E226">
        <v>742</v>
      </c>
      <c r="F226">
        <v>2226</v>
      </c>
      <c r="G226" t="s">
        <v>7</v>
      </c>
      <c r="H226">
        <v>2025</v>
      </c>
      <c r="I226" t="s">
        <v>1368</v>
      </c>
      <c r="J226" t="s">
        <v>1363</v>
      </c>
    </row>
    <row r="227" spans="1:10" x14ac:dyDescent="0.3">
      <c r="A227" s="21">
        <v>45797</v>
      </c>
      <c r="B227" t="s">
        <v>1170</v>
      </c>
      <c r="C227" t="s">
        <v>68</v>
      </c>
      <c r="D227">
        <v>1</v>
      </c>
      <c r="E227">
        <v>627</v>
      </c>
      <c r="F227">
        <v>627</v>
      </c>
      <c r="G227" t="s">
        <v>7</v>
      </c>
      <c r="H227">
        <v>2025</v>
      </c>
      <c r="I227" t="s">
        <v>1368</v>
      </c>
      <c r="J227" t="s">
        <v>1353</v>
      </c>
    </row>
    <row r="228" spans="1:10" x14ac:dyDescent="0.3">
      <c r="A228" s="21">
        <v>45797</v>
      </c>
      <c r="B228" t="s">
        <v>1001</v>
      </c>
      <c r="C228" t="s">
        <v>10</v>
      </c>
      <c r="D228">
        <v>3</v>
      </c>
      <c r="E228">
        <v>529</v>
      </c>
      <c r="F228">
        <v>1587</v>
      </c>
      <c r="G228" t="s">
        <v>11</v>
      </c>
      <c r="H228">
        <v>2025</v>
      </c>
      <c r="I228" t="s">
        <v>1368</v>
      </c>
      <c r="J228" t="s">
        <v>1353</v>
      </c>
    </row>
    <row r="229" spans="1:10" x14ac:dyDescent="0.3">
      <c r="A229" s="21">
        <v>45797</v>
      </c>
      <c r="B229" t="s">
        <v>1039</v>
      </c>
      <c r="C229" t="s">
        <v>65</v>
      </c>
      <c r="D229">
        <v>3</v>
      </c>
      <c r="E229">
        <v>735</v>
      </c>
      <c r="F229">
        <v>2205</v>
      </c>
      <c r="G229" t="s">
        <v>15</v>
      </c>
      <c r="H229">
        <v>2025</v>
      </c>
      <c r="I229" t="s">
        <v>1368</v>
      </c>
      <c r="J229" t="s">
        <v>1353</v>
      </c>
    </row>
    <row r="230" spans="1:10" x14ac:dyDescent="0.3">
      <c r="A230" s="21">
        <v>45799</v>
      </c>
      <c r="B230" t="s">
        <v>553</v>
      </c>
      <c r="C230" t="s">
        <v>24</v>
      </c>
      <c r="D230">
        <v>1</v>
      </c>
      <c r="E230">
        <v>385</v>
      </c>
      <c r="F230">
        <v>385</v>
      </c>
      <c r="G230" t="s">
        <v>11</v>
      </c>
      <c r="H230">
        <v>2025</v>
      </c>
      <c r="I230" t="s">
        <v>1368</v>
      </c>
      <c r="J230" t="s">
        <v>1356</v>
      </c>
    </row>
    <row r="231" spans="1:10" x14ac:dyDescent="0.3">
      <c r="A231" s="21">
        <v>45799</v>
      </c>
      <c r="B231" t="s">
        <v>788</v>
      </c>
      <c r="C231" t="s">
        <v>10</v>
      </c>
      <c r="D231">
        <v>6</v>
      </c>
      <c r="E231">
        <v>532</v>
      </c>
      <c r="F231">
        <v>3192</v>
      </c>
      <c r="G231" t="s">
        <v>15</v>
      </c>
      <c r="H231">
        <v>2025</v>
      </c>
      <c r="I231" t="s">
        <v>1368</v>
      </c>
      <c r="J231" t="s">
        <v>1356</v>
      </c>
    </row>
    <row r="232" spans="1:10" x14ac:dyDescent="0.3">
      <c r="A232" s="21">
        <v>45800</v>
      </c>
      <c r="B232" t="s">
        <v>1200</v>
      </c>
      <c r="C232" t="s">
        <v>18</v>
      </c>
      <c r="D232">
        <v>1</v>
      </c>
      <c r="E232">
        <v>82</v>
      </c>
      <c r="F232">
        <v>82</v>
      </c>
      <c r="G232" t="s">
        <v>7</v>
      </c>
      <c r="H232">
        <v>2025</v>
      </c>
      <c r="I232" t="s">
        <v>1368</v>
      </c>
      <c r="J232" t="s">
        <v>1366</v>
      </c>
    </row>
    <row r="233" spans="1:10" x14ac:dyDescent="0.3">
      <c r="A233" s="21">
        <v>45800</v>
      </c>
      <c r="B233" t="s">
        <v>1228</v>
      </c>
      <c r="C233" t="s">
        <v>65</v>
      </c>
      <c r="D233">
        <v>5</v>
      </c>
      <c r="E233">
        <v>719</v>
      </c>
      <c r="F233">
        <v>3595</v>
      </c>
      <c r="G233" t="s">
        <v>7</v>
      </c>
      <c r="H233">
        <v>2025</v>
      </c>
      <c r="I233" t="s">
        <v>1368</v>
      </c>
      <c r="J233" t="s">
        <v>1366</v>
      </c>
    </row>
    <row r="234" spans="1:10" x14ac:dyDescent="0.3">
      <c r="A234" s="21">
        <v>45800</v>
      </c>
      <c r="B234" t="s">
        <v>1229</v>
      </c>
      <c r="C234" t="s">
        <v>6</v>
      </c>
      <c r="D234">
        <v>4</v>
      </c>
      <c r="E234">
        <v>930</v>
      </c>
      <c r="F234">
        <v>3720</v>
      </c>
      <c r="G234" t="s">
        <v>7</v>
      </c>
      <c r="H234">
        <v>2025</v>
      </c>
      <c r="I234" t="s">
        <v>1368</v>
      </c>
      <c r="J234" t="s">
        <v>1366</v>
      </c>
    </row>
    <row r="235" spans="1:10" x14ac:dyDescent="0.3">
      <c r="A235" s="21">
        <v>45801</v>
      </c>
      <c r="B235" t="s">
        <v>454</v>
      </c>
      <c r="C235" t="s">
        <v>10</v>
      </c>
      <c r="D235">
        <v>1</v>
      </c>
      <c r="E235">
        <v>79</v>
      </c>
      <c r="F235">
        <v>79</v>
      </c>
      <c r="G235" t="s">
        <v>19</v>
      </c>
      <c r="H235">
        <v>2025</v>
      </c>
      <c r="I235" t="s">
        <v>1368</v>
      </c>
      <c r="J235" t="s">
        <v>1359</v>
      </c>
    </row>
    <row r="236" spans="1:10" x14ac:dyDescent="0.3">
      <c r="A236" s="21">
        <v>45802</v>
      </c>
      <c r="B236" t="s">
        <v>830</v>
      </c>
      <c r="C236" t="s">
        <v>65</v>
      </c>
      <c r="D236">
        <v>5</v>
      </c>
      <c r="E236">
        <v>320</v>
      </c>
      <c r="F236">
        <v>1600</v>
      </c>
      <c r="G236" t="s">
        <v>11</v>
      </c>
      <c r="H236">
        <v>2025</v>
      </c>
      <c r="I236" t="s">
        <v>1368</v>
      </c>
      <c r="J236" t="s">
        <v>1361</v>
      </c>
    </row>
    <row r="237" spans="1:10" x14ac:dyDescent="0.3">
      <c r="A237" s="21">
        <v>45803</v>
      </c>
      <c r="B237" t="s">
        <v>1041</v>
      </c>
      <c r="C237" t="s">
        <v>18</v>
      </c>
      <c r="D237">
        <v>1</v>
      </c>
      <c r="E237">
        <v>147</v>
      </c>
      <c r="F237">
        <v>147</v>
      </c>
      <c r="G237" t="s">
        <v>11</v>
      </c>
      <c r="H237">
        <v>2025</v>
      </c>
      <c r="I237" t="s">
        <v>1368</v>
      </c>
      <c r="J237" t="s">
        <v>1363</v>
      </c>
    </row>
    <row r="238" spans="1:10" x14ac:dyDescent="0.3">
      <c r="A238" s="21">
        <v>45804</v>
      </c>
      <c r="B238" t="s">
        <v>696</v>
      </c>
      <c r="C238" t="s">
        <v>68</v>
      </c>
      <c r="D238">
        <v>1</v>
      </c>
      <c r="E238">
        <v>681</v>
      </c>
      <c r="F238">
        <v>681</v>
      </c>
      <c r="G238" t="s">
        <v>33</v>
      </c>
      <c r="H238">
        <v>2025</v>
      </c>
      <c r="I238" t="s">
        <v>1368</v>
      </c>
      <c r="J238" t="s">
        <v>1353</v>
      </c>
    </row>
    <row r="239" spans="1:10" x14ac:dyDescent="0.3">
      <c r="A239" s="21">
        <v>45804</v>
      </c>
      <c r="B239" t="s">
        <v>470</v>
      </c>
      <c r="C239" t="s">
        <v>14</v>
      </c>
      <c r="D239">
        <v>6</v>
      </c>
      <c r="E239">
        <v>704</v>
      </c>
      <c r="F239">
        <v>4224</v>
      </c>
      <c r="G239" t="s">
        <v>11</v>
      </c>
      <c r="H239">
        <v>2025</v>
      </c>
      <c r="I239" t="s">
        <v>1368</v>
      </c>
      <c r="J239" t="s">
        <v>1353</v>
      </c>
    </row>
    <row r="240" spans="1:10" x14ac:dyDescent="0.3">
      <c r="A240" s="21">
        <v>45805</v>
      </c>
      <c r="B240" t="s">
        <v>593</v>
      </c>
      <c r="C240" t="s">
        <v>6</v>
      </c>
      <c r="D240">
        <v>6</v>
      </c>
      <c r="E240">
        <v>661</v>
      </c>
      <c r="F240">
        <v>3966</v>
      </c>
      <c r="G240" t="s">
        <v>7</v>
      </c>
      <c r="H240">
        <v>2025</v>
      </c>
      <c r="I240" t="s">
        <v>1368</v>
      </c>
      <c r="J240" t="s">
        <v>1358</v>
      </c>
    </row>
    <row r="241" spans="1:10" x14ac:dyDescent="0.3">
      <c r="A241" s="21">
        <v>45806</v>
      </c>
      <c r="B241" t="s">
        <v>604</v>
      </c>
      <c r="C241" t="s">
        <v>65</v>
      </c>
      <c r="D241">
        <v>4</v>
      </c>
      <c r="E241">
        <v>917</v>
      </c>
      <c r="F241">
        <v>3668</v>
      </c>
      <c r="G241" t="s">
        <v>19</v>
      </c>
      <c r="H241">
        <v>2025</v>
      </c>
      <c r="I241" t="s">
        <v>1368</v>
      </c>
      <c r="J241" t="s">
        <v>1356</v>
      </c>
    </row>
    <row r="242" spans="1:10" x14ac:dyDescent="0.3">
      <c r="A242" s="21">
        <v>45808</v>
      </c>
      <c r="B242" t="s">
        <v>1105</v>
      </c>
      <c r="C242" t="s">
        <v>68</v>
      </c>
      <c r="D242">
        <v>2</v>
      </c>
      <c r="E242">
        <v>432</v>
      </c>
      <c r="F242">
        <v>864</v>
      </c>
      <c r="G242" t="s">
        <v>19</v>
      </c>
      <c r="H242">
        <v>2025</v>
      </c>
      <c r="I242" t="s">
        <v>1368</v>
      </c>
      <c r="J242" t="s">
        <v>1359</v>
      </c>
    </row>
    <row r="243" spans="1:10" x14ac:dyDescent="0.3">
      <c r="A243" s="21">
        <v>45809</v>
      </c>
      <c r="B243" t="s">
        <v>1232</v>
      </c>
      <c r="C243" t="s">
        <v>38</v>
      </c>
      <c r="D243">
        <v>2</v>
      </c>
      <c r="E243">
        <v>232</v>
      </c>
      <c r="F243">
        <v>464</v>
      </c>
      <c r="G243" t="s">
        <v>15</v>
      </c>
      <c r="H243">
        <v>2025</v>
      </c>
      <c r="I243" t="s">
        <v>1369</v>
      </c>
      <c r="J243" t="s">
        <v>1361</v>
      </c>
    </row>
    <row r="244" spans="1:10" x14ac:dyDescent="0.3">
      <c r="A244" s="21">
        <v>45809</v>
      </c>
      <c r="B244" t="s">
        <v>646</v>
      </c>
      <c r="C244" t="s">
        <v>38</v>
      </c>
      <c r="D244">
        <v>6</v>
      </c>
      <c r="E244">
        <v>181</v>
      </c>
      <c r="F244">
        <v>1086</v>
      </c>
      <c r="G244" t="s">
        <v>11</v>
      </c>
      <c r="H244">
        <v>2025</v>
      </c>
      <c r="I244" t="s">
        <v>1369</v>
      </c>
      <c r="J244" t="s">
        <v>1361</v>
      </c>
    </row>
    <row r="245" spans="1:10" x14ac:dyDescent="0.3">
      <c r="A245" s="21">
        <v>45809</v>
      </c>
      <c r="B245" t="s">
        <v>730</v>
      </c>
      <c r="C245" t="s">
        <v>6</v>
      </c>
      <c r="D245">
        <v>3</v>
      </c>
      <c r="E245">
        <v>754</v>
      </c>
      <c r="F245">
        <v>2262</v>
      </c>
      <c r="G245" t="s">
        <v>7</v>
      </c>
      <c r="H245">
        <v>2025</v>
      </c>
      <c r="I245" t="s">
        <v>1369</v>
      </c>
      <c r="J245" t="s">
        <v>1361</v>
      </c>
    </row>
    <row r="246" spans="1:10" x14ac:dyDescent="0.3">
      <c r="A246" s="21">
        <v>45811</v>
      </c>
      <c r="B246" t="s">
        <v>803</v>
      </c>
      <c r="C246" t="s">
        <v>38</v>
      </c>
      <c r="D246">
        <v>1</v>
      </c>
      <c r="E246">
        <v>382</v>
      </c>
      <c r="F246">
        <v>382</v>
      </c>
      <c r="G246" t="s">
        <v>27</v>
      </c>
      <c r="H246">
        <v>2025</v>
      </c>
      <c r="I246" t="s">
        <v>1369</v>
      </c>
      <c r="J246" t="s">
        <v>1353</v>
      </c>
    </row>
    <row r="247" spans="1:10" x14ac:dyDescent="0.3">
      <c r="A247" s="21">
        <v>45811</v>
      </c>
      <c r="B247" t="s">
        <v>596</v>
      </c>
      <c r="C247" t="s">
        <v>10</v>
      </c>
      <c r="D247">
        <v>3</v>
      </c>
      <c r="E247">
        <v>719</v>
      </c>
      <c r="F247">
        <v>2157</v>
      </c>
      <c r="G247" t="s">
        <v>33</v>
      </c>
      <c r="H247">
        <v>2025</v>
      </c>
      <c r="I247" t="s">
        <v>1369</v>
      </c>
      <c r="J247" t="s">
        <v>1353</v>
      </c>
    </row>
    <row r="248" spans="1:10" x14ac:dyDescent="0.3">
      <c r="A248" s="21">
        <v>45811</v>
      </c>
      <c r="B248" t="s">
        <v>598</v>
      </c>
      <c r="C248" t="s">
        <v>79</v>
      </c>
      <c r="D248">
        <v>6</v>
      </c>
      <c r="E248">
        <v>531</v>
      </c>
      <c r="F248">
        <v>3186</v>
      </c>
      <c r="G248" t="s">
        <v>19</v>
      </c>
      <c r="H248">
        <v>2025</v>
      </c>
      <c r="I248" t="s">
        <v>1369</v>
      </c>
      <c r="J248" t="s">
        <v>1353</v>
      </c>
    </row>
    <row r="249" spans="1:10" x14ac:dyDescent="0.3">
      <c r="A249" s="21">
        <v>45812</v>
      </c>
      <c r="B249" t="s">
        <v>1214</v>
      </c>
      <c r="C249" t="s">
        <v>24</v>
      </c>
      <c r="D249">
        <v>2</v>
      </c>
      <c r="E249">
        <v>962</v>
      </c>
      <c r="F249">
        <v>1924</v>
      </c>
      <c r="G249" t="s">
        <v>11</v>
      </c>
      <c r="H249">
        <v>2025</v>
      </c>
      <c r="I249" t="s">
        <v>1369</v>
      </c>
      <c r="J249" t="s">
        <v>1358</v>
      </c>
    </row>
    <row r="250" spans="1:10" x14ac:dyDescent="0.3">
      <c r="A250" s="21">
        <v>45812</v>
      </c>
      <c r="B250" t="s">
        <v>792</v>
      </c>
      <c r="C250" t="s">
        <v>68</v>
      </c>
      <c r="D250">
        <v>5</v>
      </c>
      <c r="E250">
        <v>803</v>
      </c>
      <c r="F250">
        <v>4015</v>
      </c>
      <c r="G250" t="s">
        <v>27</v>
      </c>
      <c r="H250">
        <v>2025</v>
      </c>
      <c r="I250" t="s">
        <v>1369</v>
      </c>
      <c r="J250" t="s">
        <v>1358</v>
      </c>
    </row>
    <row r="251" spans="1:10" x14ac:dyDescent="0.3">
      <c r="A251" s="21">
        <v>45813</v>
      </c>
      <c r="B251" t="s">
        <v>1056</v>
      </c>
      <c r="C251" t="s">
        <v>18</v>
      </c>
      <c r="D251">
        <v>1</v>
      </c>
      <c r="E251">
        <v>387</v>
      </c>
      <c r="F251">
        <v>387</v>
      </c>
      <c r="G251" t="s">
        <v>19</v>
      </c>
      <c r="H251">
        <v>2025</v>
      </c>
      <c r="I251" t="s">
        <v>1369</v>
      </c>
      <c r="J251" t="s">
        <v>1356</v>
      </c>
    </row>
    <row r="252" spans="1:10" x14ac:dyDescent="0.3">
      <c r="A252" s="21">
        <v>45815</v>
      </c>
      <c r="B252" t="s">
        <v>685</v>
      </c>
      <c r="C252" t="s">
        <v>30</v>
      </c>
      <c r="D252">
        <v>1</v>
      </c>
      <c r="E252">
        <v>964</v>
      </c>
      <c r="F252">
        <v>964</v>
      </c>
      <c r="G252" t="s">
        <v>33</v>
      </c>
      <c r="H252">
        <v>2025</v>
      </c>
      <c r="I252" t="s">
        <v>1369</v>
      </c>
      <c r="J252" t="s">
        <v>1359</v>
      </c>
    </row>
    <row r="253" spans="1:10" x14ac:dyDescent="0.3">
      <c r="A253" s="21">
        <v>45818</v>
      </c>
      <c r="B253" t="s">
        <v>575</v>
      </c>
      <c r="C253" t="s">
        <v>30</v>
      </c>
      <c r="D253">
        <v>6</v>
      </c>
      <c r="E253">
        <v>73</v>
      </c>
      <c r="F253">
        <v>438</v>
      </c>
      <c r="G253" t="s">
        <v>33</v>
      </c>
      <c r="H253">
        <v>2025</v>
      </c>
      <c r="I253" t="s">
        <v>1369</v>
      </c>
      <c r="J253" t="s">
        <v>1353</v>
      </c>
    </row>
    <row r="254" spans="1:10" x14ac:dyDescent="0.3">
      <c r="A254" s="21">
        <v>45819</v>
      </c>
      <c r="B254" t="s">
        <v>720</v>
      </c>
      <c r="C254" t="s">
        <v>30</v>
      </c>
      <c r="D254">
        <v>2</v>
      </c>
      <c r="E254">
        <v>162</v>
      </c>
      <c r="F254">
        <v>324</v>
      </c>
      <c r="G254" t="s">
        <v>11</v>
      </c>
      <c r="H254">
        <v>2025</v>
      </c>
      <c r="I254" t="s">
        <v>1369</v>
      </c>
      <c r="J254" t="s">
        <v>1358</v>
      </c>
    </row>
    <row r="255" spans="1:10" x14ac:dyDescent="0.3">
      <c r="A255" s="21">
        <v>45819</v>
      </c>
      <c r="B255" t="s">
        <v>721</v>
      </c>
      <c r="C255" t="s">
        <v>18</v>
      </c>
      <c r="D255">
        <v>2</v>
      </c>
      <c r="E255">
        <v>476</v>
      </c>
      <c r="F255">
        <v>952</v>
      </c>
      <c r="G255" t="s">
        <v>27</v>
      </c>
      <c r="H255">
        <v>2025</v>
      </c>
      <c r="I255" t="s">
        <v>1369</v>
      </c>
      <c r="J255" t="s">
        <v>1358</v>
      </c>
    </row>
    <row r="256" spans="1:10" x14ac:dyDescent="0.3">
      <c r="A256" s="21">
        <v>45819</v>
      </c>
      <c r="B256" t="s">
        <v>1249</v>
      </c>
      <c r="C256" t="s">
        <v>65</v>
      </c>
      <c r="D256">
        <v>5</v>
      </c>
      <c r="E256">
        <v>484</v>
      </c>
      <c r="F256">
        <v>2420</v>
      </c>
      <c r="G256" t="s">
        <v>11</v>
      </c>
      <c r="H256">
        <v>2025</v>
      </c>
      <c r="I256" t="s">
        <v>1369</v>
      </c>
      <c r="J256" t="s">
        <v>1358</v>
      </c>
    </row>
    <row r="257" spans="1:10" x14ac:dyDescent="0.3">
      <c r="A257" s="21">
        <v>45820</v>
      </c>
      <c r="B257" t="s">
        <v>1181</v>
      </c>
      <c r="C257" t="s">
        <v>24</v>
      </c>
      <c r="D257">
        <v>2</v>
      </c>
      <c r="E257">
        <v>310</v>
      </c>
      <c r="F257">
        <v>620</v>
      </c>
      <c r="G257" t="s">
        <v>15</v>
      </c>
      <c r="H257">
        <v>2025</v>
      </c>
      <c r="I257" t="s">
        <v>1369</v>
      </c>
      <c r="J257" t="s">
        <v>1356</v>
      </c>
    </row>
    <row r="258" spans="1:10" x14ac:dyDescent="0.3">
      <c r="A258" s="21">
        <v>45820</v>
      </c>
      <c r="B258" t="s">
        <v>723</v>
      </c>
      <c r="C258" t="s">
        <v>38</v>
      </c>
      <c r="D258">
        <v>4</v>
      </c>
      <c r="E258">
        <v>365</v>
      </c>
      <c r="F258">
        <v>1460</v>
      </c>
      <c r="G258" t="s">
        <v>11</v>
      </c>
      <c r="H258">
        <v>2025</v>
      </c>
      <c r="I258" t="s">
        <v>1369</v>
      </c>
      <c r="J258" t="s">
        <v>1356</v>
      </c>
    </row>
    <row r="259" spans="1:10" x14ac:dyDescent="0.3">
      <c r="A259" s="21">
        <v>45820</v>
      </c>
      <c r="B259" t="s">
        <v>227</v>
      </c>
      <c r="C259" t="s">
        <v>65</v>
      </c>
      <c r="D259">
        <v>4</v>
      </c>
      <c r="E259">
        <v>843</v>
      </c>
      <c r="F259">
        <v>3372</v>
      </c>
      <c r="G259" t="s">
        <v>33</v>
      </c>
      <c r="H259">
        <v>2025</v>
      </c>
      <c r="I259" t="s">
        <v>1369</v>
      </c>
      <c r="J259" t="s">
        <v>1356</v>
      </c>
    </row>
    <row r="260" spans="1:10" x14ac:dyDescent="0.3">
      <c r="A260" s="21">
        <v>45821</v>
      </c>
      <c r="B260" t="s">
        <v>873</v>
      </c>
      <c r="C260" t="s">
        <v>18</v>
      </c>
      <c r="D260">
        <v>3</v>
      </c>
      <c r="E260">
        <v>344</v>
      </c>
      <c r="F260">
        <v>1032</v>
      </c>
      <c r="G260" t="s">
        <v>11</v>
      </c>
      <c r="H260">
        <v>2025</v>
      </c>
      <c r="I260" t="s">
        <v>1369</v>
      </c>
      <c r="J260" t="s">
        <v>1366</v>
      </c>
    </row>
    <row r="261" spans="1:10" x14ac:dyDescent="0.3">
      <c r="A261" s="21">
        <v>45821</v>
      </c>
      <c r="B261" t="s">
        <v>236</v>
      </c>
      <c r="C261" t="s">
        <v>24</v>
      </c>
      <c r="D261">
        <v>6</v>
      </c>
      <c r="E261">
        <v>676</v>
      </c>
      <c r="F261">
        <v>4056</v>
      </c>
      <c r="G261" t="s">
        <v>33</v>
      </c>
      <c r="H261">
        <v>2025</v>
      </c>
      <c r="I261" t="s">
        <v>1369</v>
      </c>
      <c r="J261" t="s">
        <v>1366</v>
      </c>
    </row>
    <row r="262" spans="1:10" x14ac:dyDescent="0.3">
      <c r="A262" s="21">
        <v>45822</v>
      </c>
      <c r="B262" t="s">
        <v>1301</v>
      </c>
      <c r="C262" t="s">
        <v>68</v>
      </c>
      <c r="D262">
        <v>3</v>
      </c>
      <c r="E262">
        <v>346</v>
      </c>
      <c r="F262">
        <v>1038</v>
      </c>
      <c r="G262" t="s">
        <v>27</v>
      </c>
      <c r="H262">
        <v>2025</v>
      </c>
      <c r="I262" t="s">
        <v>1369</v>
      </c>
      <c r="J262" t="s">
        <v>1359</v>
      </c>
    </row>
    <row r="263" spans="1:10" x14ac:dyDescent="0.3">
      <c r="A263" s="21">
        <v>45822</v>
      </c>
      <c r="B263" t="s">
        <v>1050</v>
      </c>
      <c r="C263" t="s">
        <v>30</v>
      </c>
      <c r="D263">
        <v>6</v>
      </c>
      <c r="E263">
        <v>291</v>
      </c>
      <c r="F263">
        <v>1746</v>
      </c>
      <c r="G263" t="s">
        <v>11</v>
      </c>
      <c r="H263">
        <v>2025</v>
      </c>
      <c r="I263" t="s">
        <v>1369</v>
      </c>
      <c r="J263" t="s">
        <v>1359</v>
      </c>
    </row>
    <row r="264" spans="1:10" x14ac:dyDescent="0.3">
      <c r="A264" s="21">
        <v>45824</v>
      </c>
      <c r="B264" t="s">
        <v>1146</v>
      </c>
      <c r="C264" t="s">
        <v>6</v>
      </c>
      <c r="D264">
        <v>3</v>
      </c>
      <c r="E264">
        <v>193</v>
      </c>
      <c r="F264">
        <v>579</v>
      </c>
      <c r="G264" t="s">
        <v>27</v>
      </c>
      <c r="H264">
        <v>2025</v>
      </c>
      <c r="I264" t="s">
        <v>1369</v>
      </c>
      <c r="J264" t="s">
        <v>1363</v>
      </c>
    </row>
    <row r="265" spans="1:10" x14ac:dyDescent="0.3">
      <c r="A265" s="21">
        <v>45824</v>
      </c>
      <c r="B265" t="s">
        <v>1065</v>
      </c>
      <c r="C265" t="s">
        <v>6</v>
      </c>
      <c r="D265">
        <v>6</v>
      </c>
      <c r="E265">
        <v>418</v>
      </c>
      <c r="F265">
        <v>2508</v>
      </c>
      <c r="G265" t="s">
        <v>27</v>
      </c>
      <c r="H265">
        <v>2025</v>
      </c>
      <c r="I265" t="s">
        <v>1369</v>
      </c>
      <c r="J265" t="s">
        <v>1363</v>
      </c>
    </row>
    <row r="266" spans="1:10" x14ac:dyDescent="0.3">
      <c r="A266" s="21">
        <v>45825</v>
      </c>
      <c r="B266" t="s">
        <v>1299</v>
      </c>
      <c r="C266" t="s">
        <v>65</v>
      </c>
      <c r="D266">
        <v>1</v>
      </c>
      <c r="E266">
        <v>107</v>
      </c>
      <c r="F266">
        <v>107</v>
      </c>
      <c r="G266" t="s">
        <v>15</v>
      </c>
      <c r="H266">
        <v>2025</v>
      </c>
      <c r="I266" t="s">
        <v>1369</v>
      </c>
      <c r="J266" t="s">
        <v>1353</v>
      </c>
    </row>
    <row r="267" spans="1:10" x14ac:dyDescent="0.3">
      <c r="A267" s="21">
        <v>45825</v>
      </c>
      <c r="B267" t="s">
        <v>845</v>
      </c>
      <c r="C267" t="s">
        <v>65</v>
      </c>
      <c r="D267">
        <v>3</v>
      </c>
      <c r="E267">
        <v>262</v>
      </c>
      <c r="F267">
        <v>786</v>
      </c>
      <c r="G267" t="s">
        <v>7</v>
      </c>
      <c r="H267">
        <v>2025</v>
      </c>
      <c r="I267" t="s">
        <v>1369</v>
      </c>
      <c r="J267" t="s">
        <v>1353</v>
      </c>
    </row>
    <row r="268" spans="1:10" x14ac:dyDescent="0.3">
      <c r="A268" s="21">
        <v>45826</v>
      </c>
      <c r="B268" t="s">
        <v>388</v>
      </c>
      <c r="C268" t="s">
        <v>68</v>
      </c>
      <c r="D268">
        <v>6</v>
      </c>
      <c r="E268">
        <v>177</v>
      </c>
      <c r="F268">
        <v>1062</v>
      </c>
      <c r="G268" t="s">
        <v>11</v>
      </c>
      <c r="H268">
        <v>2025</v>
      </c>
      <c r="I268" t="s">
        <v>1369</v>
      </c>
      <c r="J268" t="s">
        <v>1358</v>
      </c>
    </row>
    <row r="269" spans="1:10" x14ac:dyDescent="0.3">
      <c r="A269" s="21">
        <v>45826</v>
      </c>
      <c r="B269" t="s">
        <v>1208</v>
      </c>
      <c r="C269" t="s">
        <v>18</v>
      </c>
      <c r="D269">
        <v>2</v>
      </c>
      <c r="E269">
        <v>834</v>
      </c>
      <c r="F269">
        <v>1668</v>
      </c>
      <c r="G269" t="s">
        <v>15</v>
      </c>
      <c r="H269">
        <v>2025</v>
      </c>
      <c r="I269" t="s">
        <v>1369</v>
      </c>
      <c r="J269" t="s">
        <v>1358</v>
      </c>
    </row>
    <row r="270" spans="1:10" x14ac:dyDescent="0.3">
      <c r="A270" s="21">
        <v>45826</v>
      </c>
      <c r="B270" t="s">
        <v>1172</v>
      </c>
      <c r="C270" t="s">
        <v>68</v>
      </c>
      <c r="D270">
        <v>5</v>
      </c>
      <c r="E270">
        <v>622</v>
      </c>
      <c r="F270">
        <v>3110</v>
      </c>
      <c r="G270" t="s">
        <v>15</v>
      </c>
      <c r="H270">
        <v>2025</v>
      </c>
      <c r="I270" t="s">
        <v>1369</v>
      </c>
      <c r="J270" t="s">
        <v>1358</v>
      </c>
    </row>
    <row r="271" spans="1:10" x14ac:dyDescent="0.3">
      <c r="A271" s="21">
        <v>45827</v>
      </c>
      <c r="B271" t="s">
        <v>558</v>
      </c>
      <c r="C271" t="s">
        <v>68</v>
      </c>
      <c r="D271">
        <v>3</v>
      </c>
      <c r="E271">
        <v>244</v>
      </c>
      <c r="F271">
        <v>732</v>
      </c>
      <c r="G271" t="s">
        <v>27</v>
      </c>
      <c r="H271">
        <v>2025</v>
      </c>
      <c r="I271" t="s">
        <v>1369</v>
      </c>
      <c r="J271" t="s">
        <v>1356</v>
      </c>
    </row>
    <row r="272" spans="1:10" x14ac:dyDescent="0.3">
      <c r="A272" s="21">
        <v>45827</v>
      </c>
      <c r="B272" t="s">
        <v>367</v>
      </c>
      <c r="C272" t="s">
        <v>18</v>
      </c>
      <c r="D272">
        <v>3</v>
      </c>
      <c r="E272">
        <v>402</v>
      </c>
      <c r="F272">
        <v>1206</v>
      </c>
      <c r="G272" t="s">
        <v>15</v>
      </c>
      <c r="H272">
        <v>2025</v>
      </c>
      <c r="I272" t="s">
        <v>1369</v>
      </c>
      <c r="J272" t="s">
        <v>1356</v>
      </c>
    </row>
    <row r="273" spans="1:10" x14ac:dyDescent="0.3">
      <c r="A273" s="21">
        <v>45828</v>
      </c>
      <c r="B273" t="s">
        <v>618</v>
      </c>
      <c r="C273" t="s">
        <v>68</v>
      </c>
      <c r="D273">
        <v>2</v>
      </c>
      <c r="E273">
        <v>96</v>
      </c>
      <c r="F273">
        <v>192</v>
      </c>
      <c r="G273" t="s">
        <v>7</v>
      </c>
      <c r="H273">
        <v>2025</v>
      </c>
      <c r="I273" t="s">
        <v>1369</v>
      </c>
      <c r="J273" t="s">
        <v>1366</v>
      </c>
    </row>
    <row r="274" spans="1:10" x14ac:dyDescent="0.3">
      <c r="A274" s="21">
        <v>45828</v>
      </c>
      <c r="B274" t="s">
        <v>1085</v>
      </c>
      <c r="C274" t="s">
        <v>79</v>
      </c>
      <c r="D274">
        <v>6</v>
      </c>
      <c r="E274">
        <v>770</v>
      </c>
      <c r="F274">
        <v>4620</v>
      </c>
      <c r="G274" t="s">
        <v>7</v>
      </c>
      <c r="H274">
        <v>2025</v>
      </c>
      <c r="I274" t="s">
        <v>1369</v>
      </c>
      <c r="J274" t="s">
        <v>1366</v>
      </c>
    </row>
    <row r="275" spans="1:10" x14ac:dyDescent="0.3">
      <c r="A275" s="21">
        <v>45830</v>
      </c>
      <c r="B275" t="s">
        <v>931</v>
      </c>
      <c r="C275" t="s">
        <v>65</v>
      </c>
      <c r="D275">
        <v>2</v>
      </c>
      <c r="E275">
        <v>949</v>
      </c>
      <c r="F275">
        <v>1898</v>
      </c>
      <c r="G275" t="s">
        <v>15</v>
      </c>
      <c r="H275">
        <v>2025</v>
      </c>
      <c r="I275" t="s">
        <v>1369</v>
      </c>
      <c r="J275" t="s">
        <v>1361</v>
      </c>
    </row>
    <row r="276" spans="1:10" x14ac:dyDescent="0.3">
      <c r="A276" s="21">
        <v>45831</v>
      </c>
      <c r="B276" t="s">
        <v>1231</v>
      </c>
      <c r="C276" t="s">
        <v>10</v>
      </c>
      <c r="D276">
        <v>3</v>
      </c>
      <c r="E276">
        <v>171</v>
      </c>
      <c r="F276">
        <v>513</v>
      </c>
      <c r="G276" t="s">
        <v>11</v>
      </c>
      <c r="H276">
        <v>2025</v>
      </c>
      <c r="I276" t="s">
        <v>1369</v>
      </c>
      <c r="J276" t="s">
        <v>1363</v>
      </c>
    </row>
    <row r="277" spans="1:10" x14ac:dyDescent="0.3">
      <c r="A277" s="21">
        <v>45831</v>
      </c>
      <c r="B277" t="s">
        <v>275</v>
      </c>
      <c r="C277" t="s">
        <v>24</v>
      </c>
      <c r="D277">
        <v>4</v>
      </c>
      <c r="E277">
        <v>613</v>
      </c>
      <c r="F277">
        <v>2452</v>
      </c>
      <c r="G277" t="s">
        <v>19</v>
      </c>
      <c r="H277">
        <v>2025</v>
      </c>
      <c r="I277" t="s">
        <v>1369</v>
      </c>
      <c r="J277" t="s">
        <v>1363</v>
      </c>
    </row>
    <row r="278" spans="1:10" x14ac:dyDescent="0.3">
      <c r="A278" s="21">
        <v>45832</v>
      </c>
      <c r="B278" t="s">
        <v>1194</v>
      </c>
      <c r="C278" t="s">
        <v>18</v>
      </c>
      <c r="D278">
        <v>2</v>
      </c>
      <c r="E278">
        <v>604</v>
      </c>
      <c r="F278">
        <v>1208</v>
      </c>
      <c r="G278" t="s">
        <v>19</v>
      </c>
      <c r="H278">
        <v>2025</v>
      </c>
      <c r="I278" t="s">
        <v>1369</v>
      </c>
      <c r="J278" t="s">
        <v>1353</v>
      </c>
    </row>
    <row r="279" spans="1:10" x14ac:dyDescent="0.3">
      <c r="A279" s="21">
        <v>45832</v>
      </c>
      <c r="B279" t="s">
        <v>459</v>
      </c>
      <c r="C279" t="s">
        <v>14</v>
      </c>
      <c r="D279">
        <v>4</v>
      </c>
      <c r="E279">
        <v>640</v>
      </c>
      <c r="F279">
        <v>2560</v>
      </c>
      <c r="G279" t="s">
        <v>19</v>
      </c>
      <c r="H279">
        <v>2025</v>
      </c>
      <c r="I279" t="s">
        <v>1369</v>
      </c>
      <c r="J279" t="s">
        <v>1353</v>
      </c>
    </row>
    <row r="280" spans="1:10" x14ac:dyDescent="0.3">
      <c r="A280" s="21">
        <v>45833</v>
      </c>
      <c r="B280" t="s">
        <v>80</v>
      </c>
      <c r="C280" t="s">
        <v>14</v>
      </c>
      <c r="D280">
        <v>4</v>
      </c>
      <c r="E280">
        <v>385</v>
      </c>
      <c r="F280">
        <v>1540</v>
      </c>
      <c r="G280" t="s">
        <v>33</v>
      </c>
      <c r="H280">
        <v>2025</v>
      </c>
      <c r="I280" t="s">
        <v>1369</v>
      </c>
      <c r="J280" t="s">
        <v>1358</v>
      </c>
    </row>
    <row r="281" spans="1:10" x14ac:dyDescent="0.3">
      <c r="A281" s="21">
        <v>45833</v>
      </c>
      <c r="B281" t="s">
        <v>46</v>
      </c>
      <c r="C281" t="s">
        <v>18</v>
      </c>
      <c r="D281">
        <v>5</v>
      </c>
      <c r="E281">
        <v>866</v>
      </c>
      <c r="F281">
        <v>4330</v>
      </c>
      <c r="G281" t="s">
        <v>33</v>
      </c>
      <c r="H281">
        <v>2025</v>
      </c>
      <c r="I281" t="s">
        <v>1369</v>
      </c>
      <c r="J281" t="s">
        <v>1358</v>
      </c>
    </row>
    <row r="282" spans="1:10" x14ac:dyDescent="0.3">
      <c r="A282" s="21">
        <v>45834</v>
      </c>
      <c r="B282" t="s">
        <v>1183</v>
      </c>
      <c r="C282" t="s">
        <v>6</v>
      </c>
      <c r="D282">
        <v>1</v>
      </c>
      <c r="E282">
        <v>53</v>
      </c>
      <c r="F282">
        <v>53</v>
      </c>
      <c r="G282" t="s">
        <v>11</v>
      </c>
      <c r="H282">
        <v>2025</v>
      </c>
      <c r="I282" t="s">
        <v>1369</v>
      </c>
      <c r="J282" t="s">
        <v>1356</v>
      </c>
    </row>
    <row r="283" spans="1:10" x14ac:dyDescent="0.3">
      <c r="A283" s="21">
        <v>45834</v>
      </c>
      <c r="B283" t="s">
        <v>500</v>
      </c>
      <c r="C283" t="s">
        <v>6</v>
      </c>
      <c r="D283">
        <v>3</v>
      </c>
      <c r="E283">
        <v>545</v>
      </c>
      <c r="F283">
        <v>1635</v>
      </c>
      <c r="G283" t="s">
        <v>11</v>
      </c>
      <c r="H283">
        <v>2025</v>
      </c>
      <c r="I283" t="s">
        <v>1369</v>
      </c>
      <c r="J283" t="s">
        <v>1356</v>
      </c>
    </row>
    <row r="284" spans="1:10" x14ac:dyDescent="0.3">
      <c r="A284" s="21">
        <v>45835</v>
      </c>
      <c r="B284" t="s">
        <v>950</v>
      </c>
      <c r="C284" t="s">
        <v>18</v>
      </c>
      <c r="D284">
        <v>5</v>
      </c>
      <c r="E284">
        <v>287</v>
      </c>
      <c r="F284">
        <v>1435</v>
      </c>
      <c r="G284" t="s">
        <v>15</v>
      </c>
      <c r="H284">
        <v>2025</v>
      </c>
      <c r="I284" t="s">
        <v>1369</v>
      </c>
      <c r="J284" t="s">
        <v>1366</v>
      </c>
    </row>
    <row r="285" spans="1:10" x14ac:dyDescent="0.3">
      <c r="A285" s="21">
        <v>45835</v>
      </c>
      <c r="B285" t="s">
        <v>485</v>
      </c>
      <c r="C285" t="s">
        <v>30</v>
      </c>
      <c r="D285">
        <v>6</v>
      </c>
      <c r="E285">
        <v>874</v>
      </c>
      <c r="F285">
        <v>5244</v>
      </c>
      <c r="G285" t="s">
        <v>33</v>
      </c>
      <c r="H285">
        <v>2025</v>
      </c>
      <c r="I285" t="s">
        <v>1369</v>
      </c>
      <c r="J285" t="s">
        <v>1366</v>
      </c>
    </row>
    <row r="286" spans="1:10" x14ac:dyDescent="0.3">
      <c r="A286" s="21">
        <v>45836</v>
      </c>
      <c r="B286" t="s">
        <v>353</v>
      </c>
      <c r="C286" t="s">
        <v>65</v>
      </c>
      <c r="D286">
        <v>2</v>
      </c>
      <c r="E286">
        <v>638</v>
      </c>
      <c r="F286">
        <v>1276</v>
      </c>
      <c r="G286" t="s">
        <v>33</v>
      </c>
      <c r="H286">
        <v>2025</v>
      </c>
      <c r="I286" t="s">
        <v>1369</v>
      </c>
      <c r="J286" t="s">
        <v>1359</v>
      </c>
    </row>
    <row r="287" spans="1:10" x14ac:dyDescent="0.3">
      <c r="A287" s="21">
        <v>45836</v>
      </c>
      <c r="B287" t="s">
        <v>704</v>
      </c>
      <c r="C287" t="s">
        <v>79</v>
      </c>
      <c r="D287">
        <v>4</v>
      </c>
      <c r="E287">
        <v>898</v>
      </c>
      <c r="F287">
        <v>3592</v>
      </c>
      <c r="G287" t="s">
        <v>27</v>
      </c>
      <c r="H287">
        <v>2025</v>
      </c>
      <c r="I287" t="s">
        <v>1369</v>
      </c>
      <c r="J287" t="s">
        <v>1359</v>
      </c>
    </row>
    <row r="288" spans="1:10" x14ac:dyDescent="0.3">
      <c r="A288" s="21">
        <v>45836</v>
      </c>
      <c r="B288" t="s">
        <v>352</v>
      </c>
      <c r="C288" t="s">
        <v>65</v>
      </c>
      <c r="D288">
        <v>6</v>
      </c>
      <c r="E288">
        <v>893</v>
      </c>
      <c r="F288">
        <v>5358</v>
      </c>
      <c r="G288" t="s">
        <v>7</v>
      </c>
      <c r="H288">
        <v>2025</v>
      </c>
      <c r="I288" t="s">
        <v>1369</v>
      </c>
      <c r="J288" t="s">
        <v>1359</v>
      </c>
    </row>
    <row r="289" spans="1:10" x14ac:dyDescent="0.3">
      <c r="A289" s="21">
        <v>45837</v>
      </c>
      <c r="B289" t="s">
        <v>548</v>
      </c>
      <c r="C289" t="s">
        <v>6</v>
      </c>
      <c r="D289">
        <v>1</v>
      </c>
      <c r="E289">
        <v>936</v>
      </c>
      <c r="F289">
        <v>936</v>
      </c>
      <c r="G289" t="s">
        <v>19</v>
      </c>
      <c r="H289">
        <v>2025</v>
      </c>
      <c r="I289" t="s">
        <v>1369</v>
      </c>
      <c r="J289" t="s">
        <v>1361</v>
      </c>
    </row>
    <row r="290" spans="1:10" x14ac:dyDescent="0.3">
      <c r="A290" s="21">
        <v>45839</v>
      </c>
      <c r="B290" t="s">
        <v>1255</v>
      </c>
      <c r="C290" t="s">
        <v>65</v>
      </c>
      <c r="D290">
        <v>3</v>
      </c>
      <c r="E290">
        <v>303</v>
      </c>
      <c r="F290">
        <v>909</v>
      </c>
      <c r="G290" t="s">
        <v>33</v>
      </c>
      <c r="H290">
        <v>2025</v>
      </c>
      <c r="I290" t="s">
        <v>1360</v>
      </c>
      <c r="J290" t="s">
        <v>1353</v>
      </c>
    </row>
    <row r="291" spans="1:10" x14ac:dyDescent="0.3">
      <c r="A291" s="21">
        <v>45840</v>
      </c>
      <c r="B291" t="s">
        <v>755</v>
      </c>
      <c r="C291" t="s">
        <v>10</v>
      </c>
      <c r="D291">
        <v>3</v>
      </c>
      <c r="E291">
        <v>788</v>
      </c>
      <c r="F291">
        <v>2364</v>
      </c>
      <c r="G291" t="s">
        <v>7</v>
      </c>
      <c r="H291">
        <v>2025</v>
      </c>
      <c r="I291" t="s">
        <v>1360</v>
      </c>
      <c r="J291" t="s">
        <v>1358</v>
      </c>
    </row>
    <row r="292" spans="1:10" x14ac:dyDescent="0.3">
      <c r="A292" s="21">
        <v>45841</v>
      </c>
      <c r="B292" t="s">
        <v>58</v>
      </c>
      <c r="C292" t="s">
        <v>30</v>
      </c>
      <c r="D292">
        <v>5</v>
      </c>
      <c r="E292">
        <v>130</v>
      </c>
      <c r="F292">
        <v>650</v>
      </c>
      <c r="G292" t="s">
        <v>19</v>
      </c>
      <c r="H292">
        <v>2025</v>
      </c>
      <c r="I292" t="s">
        <v>1360</v>
      </c>
      <c r="J292" t="s">
        <v>1356</v>
      </c>
    </row>
    <row r="293" spans="1:10" x14ac:dyDescent="0.3">
      <c r="A293" s="21">
        <v>45841</v>
      </c>
      <c r="B293" t="s">
        <v>1109</v>
      </c>
      <c r="C293" t="s">
        <v>14</v>
      </c>
      <c r="D293">
        <v>5</v>
      </c>
      <c r="E293">
        <v>984</v>
      </c>
      <c r="F293">
        <v>4920</v>
      </c>
      <c r="G293" t="s">
        <v>33</v>
      </c>
      <c r="H293">
        <v>2025</v>
      </c>
      <c r="I293" t="s">
        <v>1360</v>
      </c>
      <c r="J293" t="s">
        <v>1356</v>
      </c>
    </row>
    <row r="294" spans="1:10" x14ac:dyDescent="0.3">
      <c r="A294" s="21">
        <v>45843</v>
      </c>
      <c r="B294" t="s">
        <v>1134</v>
      </c>
      <c r="C294" t="s">
        <v>10</v>
      </c>
      <c r="D294">
        <v>2</v>
      </c>
      <c r="E294">
        <v>164</v>
      </c>
      <c r="F294">
        <v>328</v>
      </c>
      <c r="G294" t="s">
        <v>19</v>
      </c>
      <c r="H294">
        <v>2025</v>
      </c>
      <c r="I294" t="s">
        <v>1360</v>
      </c>
      <c r="J294" t="s">
        <v>1359</v>
      </c>
    </row>
    <row r="295" spans="1:10" x14ac:dyDescent="0.3">
      <c r="A295" s="21">
        <v>45843</v>
      </c>
      <c r="B295" t="s">
        <v>1235</v>
      </c>
      <c r="C295" t="s">
        <v>14</v>
      </c>
      <c r="D295">
        <v>1</v>
      </c>
      <c r="E295">
        <v>591</v>
      </c>
      <c r="F295">
        <v>591</v>
      </c>
      <c r="G295" t="s">
        <v>27</v>
      </c>
      <c r="H295">
        <v>2025</v>
      </c>
      <c r="I295" t="s">
        <v>1360</v>
      </c>
      <c r="J295" t="s">
        <v>1359</v>
      </c>
    </row>
    <row r="296" spans="1:10" x14ac:dyDescent="0.3">
      <c r="A296" s="21">
        <v>45843</v>
      </c>
      <c r="B296" t="s">
        <v>846</v>
      </c>
      <c r="C296" t="s">
        <v>65</v>
      </c>
      <c r="D296">
        <v>3</v>
      </c>
      <c r="E296">
        <v>756</v>
      </c>
      <c r="F296">
        <v>2268</v>
      </c>
      <c r="G296" t="s">
        <v>15</v>
      </c>
      <c r="H296">
        <v>2025</v>
      </c>
      <c r="I296" t="s">
        <v>1360</v>
      </c>
      <c r="J296" t="s">
        <v>1359</v>
      </c>
    </row>
    <row r="297" spans="1:10" x14ac:dyDescent="0.3">
      <c r="A297" s="21">
        <v>45844</v>
      </c>
      <c r="B297" t="s">
        <v>537</v>
      </c>
      <c r="C297" t="s">
        <v>6</v>
      </c>
      <c r="D297">
        <v>5</v>
      </c>
      <c r="E297">
        <v>149</v>
      </c>
      <c r="F297">
        <v>745</v>
      </c>
      <c r="G297" t="s">
        <v>15</v>
      </c>
      <c r="H297">
        <v>2025</v>
      </c>
      <c r="I297" t="s">
        <v>1360</v>
      </c>
      <c r="J297" t="s">
        <v>1361</v>
      </c>
    </row>
    <row r="298" spans="1:10" x14ac:dyDescent="0.3">
      <c r="A298" s="21">
        <v>45844</v>
      </c>
      <c r="B298" t="s">
        <v>280</v>
      </c>
      <c r="C298" t="s">
        <v>14</v>
      </c>
      <c r="D298">
        <v>4</v>
      </c>
      <c r="E298">
        <v>962</v>
      </c>
      <c r="F298">
        <v>3848</v>
      </c>
      <c r="G298" t="s">
        <v>15</v>
      </c>
      <c r="H298">
        <v>2025</v>
      </c>
      <c r="I298" t="s">
        <v>1360</v>
      </c>
      <c r="J298" t="s">
        <v>1361</v>
      </c>
    </row>
    <row r="299" spans="1:10" x14ac:dyDescent="0.3">
      <c r="A299" s="21">
        <v>45845</v>
      </c>
      <c r="B299" t="s">
        <v>885</v>
      </c>
      <c r="C299" t="s">
        <v>14</v>
      </c>
      <c r="D299">
        <v>4</v>
      </c>
      <c r="E299">
        <v>269</v>
      </c>
      <c r="F299">
        <v>1076</v>
      </c>
      <c r="G299" t="s">
        <v>19</v>
      </c>
      <c r="H299">
        <v>2025</v>
      </c>
      <c r="I299" t="s">
        <v>1360</v>
      </c>
      <c r="J299" t="s">
        <v>1363</v>
      </c>
    </row>
    <row r="300" spans="1:10" x14ac:dyDescent="0.3">
      <c r="A300" s="21">
        <v>45846</v>
      </c>
      <c r="B300" t="s">
        <v>494</v>
      </c>
      <c r="C300" t="s">
        <v>68</v>
      </c>
      <c r="D300">
        <v>6</v>
      </c>
      <c r="E300">
        <v>111</v>
      </c>
      <c r="F300">
        <v>666</v>
      </c>
      <c r="G300" t="s">
        <v>15</v>
      </c>
      <c r="H300">
        <v>2025</v>
      </c>
      <c r="I300" t="s">
        <v>1360</v>
      </c>
      <c r="J300" t="s">
        <v>1353</v>
      </c>
    </row>
    <row r="301" spans="1:10" x14ac:dyDescent="0.3">
      <c r="A301" s="21">
        <v>45846</v>
      </c>
      <c r="B301" t="s">
        <v>809</v>
      </c>
      <c r="C301" t="s">
        <v>38</v>
      </c>
      <c r="D301">
        <v>4</v>
      </c>
      <c r="E301">
        <v>371</v>
      </c>
      <c r="F301">
        <v>1484</v>
      </c>
      <c r="G301" t="s">
        <v>19</v>
      </c>
      <c r="H301">
        <v>2025</v>
      </c>
      <c r="I301" t="s">
        <v>1360</v>
      </c>
      <c r="J301" t="s">
        <v>1353</v>
      </c>
    </row>
    <row r="302" spans="1:10" x14ac:dyDescent="0.3">
      <c r="A302" s="21">
        <v>45847</v>
      </c>
      <c r="B302" t="s">
        <v>1043</v>
      </c>
      <c r="C302" t="s">
        <v>14</v>
      </c>
      <c r="D302">
        <v>1</v>
      </c>
      <c r="E302">
        <v>193</v>
      </c>
      <c r="F302">
        <v>193</v>
      </c>
      <c r="G302" t="s">
        <v>11</v>
      </c>
      <c r="H302">
        <v>2025</v>
      </c>
      <c r="I302" t="s">
        <v>1360</v>
      </c>
      <c r="J302" t="s">
        <v>1358</v>
      </c>
    </row>
    <row r="303" spans="1:10" x14ac:dyDescent="0.3">
      <c r="A303" s="21">
        <v>45848</v>
      </c>
      <c r="B303" t="s">
        <v>147</v>
      </c>
      <c r="C303" t="s">
        <v>24</v>
      </c>
      <c r="D303">
        <v>6</v>
      </c>
      <c r="E303">
        <v>196</v>
      </c>
      <c r="F303">
        <v>1176</v>
      </c>
      <c r="G303" t="s">
        <v>33</v>
      </c>
      <c r="H303">
        <v>2025</v>
      </c>
      <c r="I303" t="s">
        <v>1360</v>
      </c>
      <c r="J303" t="s">
        <v>1356</v>
      </c>
    </row>
    <row r="304" spans="1:10" x14ac:dyDescent="0.3">
      <c r="A304" s="21">
        <v>45849</v>
      </c>
      <c r="B304" t="s">
        <v>964</v>
      </c>
      <c r="C304" t="s">
        <v>14</v>
      </c>
      <c r="D304">
        <v>4</v>
      </c>
      <c r="E304">
        <v>907</v>
      </c>
      <c r="F304">
        <v>3628</v>
      </c>
      <c r="G304" t="s">
        <v>33</v>
      </c>
      <c r="H304">
        <v>2025</v>
      </c>
      <c r="I304" t="s">
        <v>1360</v>
      </c>
      <c r="J304" t="s">
        <v>1366</v>
      </c>
    </row>
    <row r="305" spans="1:10" x14ac:dyDescent="0.3">
      <c r="A305" s="21">
        <v>45850</v>
      </c>
      <c r="B305" t="s">
        <v>415</v>
      </c>
      <c r="C305" t="s">
        <v>18</v>
      </c>
      <c r="D305">
        <v>1</v>
      </c>
      <c r="E305">
        <v>178</v>
      </c>
      <c r="F305">
        <v>178</v>
      </c>
      <c r="G305" t="s">
        <v>27</v>
      </c>
      <c r="H305">
        <v>2025</v>
      </c>
      <c r="I305" t="s">
        <v>1360</v>
      </c>
      <c r="J305" t="s">
        <v>1359</v>
      </c>
    </row>
    <row r="306" spans="1:10" x14ac:dyDescent="0.3">
      <c r="A306" s="21">
        <v>45851</v>
      </c>
      <c r="B306" t="s">
        <v>531</v>
      </c>
      <c r="C306" t="s">
        <v>6</v>
      </c>
      <c r="D306">
        <v>2</v>
      </c>
      <c r="E306">
        <v>323</v>
      </c>
      <c r="F306">
        <v>646</v>
      </c>
      <c r="G306" t="s">
        <v>33</v>
      </c>
      <c r="H306">
        <v>2025</v>
      </c>
      <c r="I306" t="s">
        <v>1360</v>
      </c>
      <c r="J306" t="s">
        <v>1361</v>
      </c>
    </row>
    <row r="307" spans="1:10" x14ac:dyDescent="0.3">
      <c r="A307" s="21">
        <v>45852</v>
      </c>
      <c r="B307" t="s">
        <v>1291</v>
      </c>
      <c r="C307" t="s">
        <v>65</v>
      </c>
      <c r="D307">
        <v>6</v>
      </c>
      <c r="E307">
        <v>461</v>
      </c>
      <c r="F307">
        <v>2766</v>
      </c>
      <c r="G307" t="s">
        <v>33</v>
      </c>
      <c r="H307">
        <v>2025</v>
      </c>
      <c r="I307" t="s">
        <v>1360</v>
      </c>
      <c r="J307" t="s">
        <v>1363</v>
      </c>
    </row>
    <row r="308" spans="1:10" x14ac:dyDescent="0.3">
      <c r="A308" s="21">
        <v>45852</v>
      </c>
      <c r="B308" t="s">
        <v>824</v>
      </c>
      <c r="C308" t="s">
        <v>30</v>
      </c>
      <c r="D308">
        <v>6</v>
      </c>
      <c r="E308">
        <v>747</v>
      </c>
      <c r="F308">
        <v>4482</v>
      </c>
      <c r="G308" t="s">
        <v>11</v>
      </c>
      <c r="H308">
        <v>2025</v>
      </c>
      <c r="I308" t="s">
        <v>1360</v>
      </c>
      <c r="J308" t="s">
        <v>1363</v>
      </c>
    </row>
    <row r="309" spans="1:10" x14ac:dyDescent="0.3">
      <c r="A309" s="21">
        <v>45853</v>
      </c>
      <c r="B309" t="s">
        <v>946</v>
      </c>
      <c r="C309" t="s">
        <v>6</v>
      </c>
      <c r="D309">
        <v>5</v>
      </c>
      <c r="E309">
        <v>141</v>
      </c>
      <c r="F309">
        <v>705</v>
      </c>
      <c r="G309" t="s">
        <v>19</v>
      </c>
      <c r="H309">
        <v>2025</v>
      </c>
      <c r="I309" t="s">
        <v>1360</v>
      </c>
      <c r="J309" t="s">
        <v>1353</v>
      </c>
    </row>
    <row r="310" spans="1:10" x14ac:dyDescent="0.3">
      <c r="A310" s="21">
        <v>45855</v>
      </c>
      <c r="B310" t="s">
        <v>519</v>
      </c>
      <c r="C310" t="s">
        <v>18</v>
      </c>
      <c r="D310">
        <v>1</v>
      </c>
      <c r="E310">
        <v>183</v>
      </c>
      <c r="F310">
        <v>183</v>
      </c>
      <c r="G310" t="s">
        <v>11</v>
      </c>
      <c r="H310">
        <v>2025</v>
      </c>
      <c r="I310" t="s">
        <v>1360</v>
      </c>
      <c r="J310" t="s">
        <v>1356</v>
      </c>
    </row>
    <row r="311" spans="1:10" x14ac:dyDescent="0.3">
      <c r="A311" s="21">
        <v>45855</v>
      </c>
      <c r="B311" t="s">
        <v>260</v>
      </c>
      <c r="C311" t="s">
        <v>14</v>
      </c>
      <c r="D311">
        <v>5</v>
      </c>
      <c r="E311">
        <v>505</v>
      </c>
      <c r="F311">
        <v>2525</v>
      </c>
      <c r="G311" t="s">
        <v>11</v>
      </c>
      <c r="H311">
        <v>2025</v>
      </c>
      <c r="I311" t="s">
        <v>1360</v>
      </c>
      <c r="J311" t="s">
        <v>1356</v>
      </c>
    </row>
    <row r="312" spans="1:10" x14ac:dyDescent="0.3">
      <c r="A312" s="21">
        <v>45856</v>
      </c>
      <c r="B312" t="s">
        <v>1189</v>
      </c>
      <c r="C312" t="s">
        <v>65</v>
      </c>
      <c r="D312">
        <v>1</v>
      </c>
      <c r="E312">
        <v>483</v>
      </c>
      <c r="F312">
        <v>483</v>
      </c>
      <c r="G312" t="s">
        <v>11</v>
      </c>
      <c r="H312">
        <v>2025</v>
      </c>
      <c r="I312" t="s">
        <v>1360</v>
      </c>
      <c r="J312" t="s">
        <v>1366</v>
      </c>
    </row>
    <row r="313" spans="1:10" x14ac:dyDescent="0.3">
      <c r="A313" s="21">
        <v>45856</v>
      </c>
      <c r="B313" t="s">
        <v>881</v>
      </c>
      <c r="C313" t="s">
        <v>38</v>
      </c>
      <c r="D313">
        <v>6</v>
      </c>
      <c r="E313">
        <v>721</v>
      </c>
      <c r="F313">
        <v>4326</v>
      </c>
      <c r="G313" t="s">
        <v>19</v>
      </c>
      <c r="H313">
        <v>2025</v>
      </c>
      <c r="I313" t="s">
        <v>1360</v>
      </c>
      <c r="J313" t="s">
        <v>1366</v>
      </c>
    </row>
    <row r="314" spans="1:10" x14ac:dyDescent="0.3">
      <c r="A314" s="21">
        <v>45857</v>
      </c>
      <c r="B314" t="s">
        <v>961</v>
      </c>
      <c r="C314" t="s">
        <v>68</v>
      </c>
      <c r="D314">
        <v>1</v>
      </c>
      <c r="E314">
        <v>477</v>
      </c>
      <c r="F314">
        <v>477</v>
      </c>
      <c r="G314" t="s">
        <v>15</v>
      </c>
      <c r="H314">
        <v>2025</v>
      </c>
      <c r="I314" t="s">
        <v>1360</v>
      </c>
      <c r="J314" t="s">
        <v>1359</v>
      </c>
    </row>
    <row r="315" spans="1:10" x14ac:dyDescent="0.3">
      <c r="A315" s="21">
        <v>45857</v>
      </c>
      <c r="B315" t="s">
        <v>962</v>
      </c>
      <c r="C315" t="s">
        <v>65</v>
      </c>
      <c r="D315">
        <v>4</v>
      </c>
      <c r="E315">
        <v>953</v>
      </c>
      <c r="F315">
        <v>3812</v>
      </c>
      <c r="G315" t="s">
        <v>19</v>
      </c>
      <c r="H315">
        <v>2025</v>
      </c>
      <c r="I315" t="s">
        <v>1360</v>
      </c>
      <c r="J315" t="s">
        <v>1359</v>
      </c>
    </row>
    <row r="316" spans="1:10" x14ac:dyDescent="0.3">
      <c r="A316" s="21">
        <v>45858</v>
      </c>
      <c r="B316" t="s">
        <v>1074</v>
      </c>
      <c r="C316" t="s">
        <v>79</v>
      </c>
      <c r="D316">
        <v>5</v>
      </c>
      <c r="E316">
        <v>364</v>
      </c>
      <c r="F316">
        <v>1820</v>
      </c>
      <c r="G316" t="s">
        <v>7</v>
      </c>
      <c r="H316">
        <v>2025</v>
      </c>
      <c r="I316" t="s">
        <v>1360</v>
      </c>
      <c r="J316" t="s">
        <v>1361</v>
      </c>
    </row>
    <row r="317" spans="1:10" x14ac:dyDescent="0.3">
      <c r="A317" s="21">
        <v>45859</v>
      </c>
      <c r="B317" t="s">
        <v>1293</v>
      </c>
      <c r="C317" t="s">
        <v>18</v>
      </c>
      <c r="D317">
        <v>6</v>
      </c>
      <c r="E317">
        <v>289</v>
      </c>
      <c r="F317">
        <v>1734</v>
      </c>
      <c r="G317" t="s">
        <v>27</v>
      </c>
      <c r="H317">
        <v>2025</v>
      </c>
      <c r="I317" t="s">
        <v>1360</v>
      </c>
      <c r="J317" t="s">
        <v>1363</v>
      </c>
    </row>
    <row r="318" spans="1:10" x14ac:dyDescent="0.3">
      <c r="A318" s="21">
        <v>45860</v>
      </c>
      <c r="B318" t="s">
        <v>779</v>
      </c>
      <c r="C318" t="s">
        <v>6</v>
      </c>
      <c r="D318">
        <v>4</v>
      </c>
      <c r="E318">
        <v>757</v>
      </c>
      <c r="F318">
        <v>3028</v>
      </c>
      <c r="G318" t="s">
        <v>11</v>
      </c>
      <c r="H318">
        <v>2025</v>
      </c>
      <c r="I318" t="s">
        <v>1360</v>
      </c>
      <c r="J318" t="s">
        <v>1353</v>
      </c>
    </row>
    <row r="319" spans="1:10" x14ac:dyDescent="0.3">
      <c r="A319" s="21">
        <v>45860</v>
      </c>
      <c r="B319" t="s">
        <v>1069</v>
      </c>
      <c r="C319" t="s">
        <v>18</v>
      </c>
      <c r="D319">
        <v>6</v>
      </c>
      <c r="E319">
        <v>733</v>
      </c>
      <c r="F319">
        <v>4398</v>
      </c>
      <c r="G319" t="s">
        <v>27</v>
      </c>
      <c r="H319">
        <v>2025</v>
      </c>
      <c r="I319" t="s">
        <v>1360</v>
      </c>
      <c r="J319" t="s">
        <v>1353</v>
      </c>
    </row>
    <row r="320" spans="1:10" x14ac:dyDescent="0.3">
      <c r="A320" s="21">
        <v>45861</v>
      </c>
      <c r="B320" t="s">
        <v>288</v>
      </c>
      <c r="C320" t="s">
        <v>24</v>
      </c>
      <c r="D320">
        <v>6</v>
      </c>
      <c r="E320">
        <v>776</v>
      </c>
      <c r="F320">
        <v>4656</v>
      </c>
      <c r="G320" t="s">
        <v>27</v>
      </c>
      <c r="H320">
        <v>2025</v>
      </c>
      <c r="I320" t="s">
        <v>1360</v>
      </c>
      <c r="J320" t="s">
        <v>1358</v>
      </c>
    </row>
    <row r="321" spans="1:10" x14ac:dyDescent="0.3">
      <c r="A321" s="21">
        <v>45862</v>
      </c>
      <c r="B321" t="s">
        <v>907</v>
      </c>
      <c r="C321" t="s">
        <v>24</v>
      </c>
      <c r="D321">
        <v>3</v>
      </c>
      <c r="E321">
        <v>593</v>
      </c>
      <c r="F321">
        <v>1779</v>
      </c>
      <c r="G321" t="s">
        <v>11</v>
      </c>
      <c r="H321">
        <v>2025</v>
      </c>
      <c r="I321" t="s">
        <v>1360</v>
      </c>
      <c r="J321" t="s">
        <v>1356</v>
      </c>
    </row>
    <row r="322" spans="1:10" x14ac:dyDescent="0.3">
      <c r="A322" s="21">
        <v>45863</v>
      </c>
      <c r="B322" t="s">
        <v>203</v>
      </c>
      <c r="C322" t="s">
        <v>24</v>
      </c>
      <c r="D322">
        <v>2</v>
      </c>
      <c r="E322">
        <v>715</v>
      </c>
      <c r="F322">
        <v>1430</v>
      </c>
      <c r="G322" t="s">
        <v>33</v>
      </c>
      <c r="H322">
        <v>2025</v>
      </c>
      <c r="I322" t="s">
        <v>1360</v>
      </c>
      <c r="J322" t="s">
        <v>1366</v>
      </c>
    </row>
    <row r="323" spans="1:10" x14ac:dyDescent="0.3">
      <c r="A323" s="21">
        <v>45863</v>
      </c>
      <c r="B323" t="s">
        <v>1034</v>
      </c>
      <c r="C323" t="s">
        <v>79</v>
      </c>
      <c r="D323">
        <v>6</v>
      </c>
      <c r="E323">
        <v>487</v>
      </c>
      <c r="F323">
        <v>2922</v>
      </c>
      <c r="G323" t="s">
        <v>19</v>
      </c>
      <c r="H323">
        <v>2025</v>
      </c>
      <c r="I323" t="s">
        <v>1360</v>
      </c>
      <c r="J323" t="s">
        <v>1366</v>
      </c>
    </row>
    <row r="324" spans="1:10" x14ac:dyDescent="0.3">
      <c r="A324" s="21">
        <v>45866</v>
      </c>
      <c r="B324" t="s">
        <v>37</v>
      </c>
      <c r="C324" t="s">
        <v>38</v>
      </c>
      <c r="D324">
        <v>4</v>
      </c>
      <c r="E324">
        <v>758</v>
      </c>
      <c r="F324">
        <v>3032</v>
      </c>
      <c r="G324" t="s">
        <v>15</v>
      </c>
      <c r="H324">
        <v>2025</v>
      </c>
      <c r="I324" t="s">
        <v>1360</v>
      </c>
      <c r="J324" t="s">
        <v>1363</v>
      </c>
    </row>
    <row r="325" spans="1:10" x14ac:dyDescent="0.3">
      <c r="A325" s="21">
        <v>45867</v>
      </c>
      <c r="B325" t="s">
        <v>169</v>
      </c>
      <c r="C325" t="s">
        <v>14</v>
      </c>
      <c r="D325">
        <v>1</v>
      </c>
      <c r="E325">
        <v>420</v>
      </c>
      <c r="F325">
        <v>420</v>
      </c>
      <c r="G325" t="s">
        <v>7</v>
      </c>
      <c r="H325">
        <v>2025</v>
      </c>
      <c r="I325" t="s">
        <v>1360</v>
      </c>
      <c r="J325" t="s">
        <v>1353</v>
      </c>
    </row>
    <row r="326" spans="1:10" x14ac:dyDescent="0.3">
      <c r="A326" s="21">
        <v>45867</v>
      </c>
      <c r="B326" t="s">
        <v>841</v>
      </c>
      <c r="C326" t="s">
        <v>14</v>
      </c>
      <c r="D326">
        <v>3</v>
      </c>
      <c r="E326">
        <v>839</v>
      </c>
      <c r="F326">
        <v>2517</v>
      </c>
      <c r="G326" t="s">
        <v>7</v>
      </c>
      <c r="H326">
        <v>2025</v>
      </c>
      <c r="I326" t="s">
        <v>1360</v>
      </c>
      <c r="J326" t="s">
        <v>1353</v>
      </c>
    </row>
    <row r="327" spans="1:10" x14ac:dyDescent="0.3">
      <c r="A327" s="21">
        <v>45870</v>
      </c>
      <c r="B327" t="s">
        <v>1167</v>
      </c>
      <c r="C327" t="s">
        <v>68</v>
      </c>
      <c r="D327">
        <v>4</v>
      </c>
      <c r="E327">
        <v>575</v>
      </c>
      <c r="F327">
        <v>2300</v>
      </c>
      <c r="G327" t="s">
        <v>19</v>
      </c>
      <c r="H327">
        <v>2025</v>
      </c>
      <c r="I327" t="s">
        <v>1362</v>
      </c>
      <c r="J327" t="s">
        <v>1366</v>
      </c>
    </row>
    <row r="328" spans="1:10" x14ac:dyDescent="0.3">
      <c r="A328" s="21">
        <v>45872</v>
      </c>
      <c r="B328" t="s">
        <v>1047</v>
      </c>
      <c r="C328" t="s">
        <v>14</v>
      </c>
      <c r="D328">
        <v>3</v>
      </c>
      <c r="E328">
        <v>56</v>
      </c>
      <c r="F328">
        <v>168</v>
      </c>
      <c r="G328" t="s">
        <v>11</v>
      </c>
      <c r="H328">
        <v>2025</v>
      </c>
      <c r="I328" t="s">
        <v>1362</v>
      </c>
      <c r="J328" t="s">
        <v>1361</v>
      </c>
    </row>
    <row r="329" spans="1:10" x14ac:dyDescent="0.3">
      <c r="A329" s="21">
        <v>45873</v>
      </c>
      <c r="B329" t="s">
        <v>914</v>
      </c>
      <c r="C329" t="s">
        <v>68</v>
      </c>
      <c r="D329">
        <v>2</v>
      </c>
      <c r="E329">
        <v>152</v>
      </c>
      <c r="F329">
        <v>304</v>
      </c>
      <c r="G329" t="s">
        <v>11</v>
      </c>
      <c r="H329">
        <v>2025</v>
      </c>
      <c r="I329" t="s">
        <v>1362</v>
      </c>
      <c r="J329" t="s">
        <v>1363</v>
      </c>
    </row>
    <row r="330" spans="1:10" x14ac:dyDescent="0.3">
      <c r="A330" s="21">
        <v>45873</v>
      </c>
      <c r="B330" t="s">
        <v>915</v>
      </c>
      <c r="C330" t="s">
        <v>68</v>
      </c>
      <c r="D330">
        <v>1</v>
      </c>
      <c r="E330">
        <v>473</v>
      </c>
      <c r="F330">
        <v>473</v>
      </c>
      <c r="G330" t="s">
        <v>7</v>
      </c>
      <c r="H330">
        <v>2025</v>
      </c>
      <c r="I330" t="s">
        <v>1362</v>
      </c>
      <c r="J330" t="s">
        <v>1363</v>
      </c>
    </row>
    <row r="331" spans="1:10" x14ac:dyDescent="0.3">
      <c r="A331" s="21">
        <v>45873</v>
      </c>
      <c r="B331" t="s">
        <v>498</v>
      </c>
      <c r="C331" t="s">
        <v>38</v>
      </c>
      <c r="D331">
        <v>6</v>
      </c>
      <c r="E331">
        <v>475</v>
      </c>
      <c r="F331">
        <v>2850</v>
      </c>
      <c r="G331" t="s">
        <v>27</v>
      </c>
      <c r="H331">
        <v>2025</v>
      </c>
      <c r="I331" t="s">
        <v>1362</v>
      </c>
      <c r="J331" t="s">
        <v>1363</v>
      </c>
    </row>
    <row r="332" spans="1:10" x14ac:dyDescent="0.3">
      <c r="A332" s="21">
        <v>45873</v>
      </c>
      <c r="B332" t="s">
        <v>263</v>
      </c>
      <c r="C332" t="s">
        <v>6</v>
      </c>
      <c r="D332">
        <v>6</v>
      </c>
      <c r="E332">
        <v>879</v>
      </c>
      <c r="F332">
        <v>5274</v>
      </c>
      <c r="G332" t="s">
        <v>15</v>
      </c>
      <c r="H332">
        <v>2025</v>
      </c>
      <c r="I332" t="s">
        <v>1362</v>
      </c>
      <c r="J332" t="s">
        <v>1363</v>
      </c>
    </row>
    <row r="333" spans="1:10" x14ac:dyDescent="0.3">
      <c r="A333" s="21">
        <v>45876</v>
      </c>
      <c r="B333" t="s">
        <v>267</v>
      </c>
      <c r="C333" t="s">
        <v>24</v>
      </c>
      <c r="D333">
        <v>3</v>
      </c>
      <c r="E333">
        <v>377</v>
      </c>
      <c r="F333">
        <v>1131</v>
      </c>
      <c r="G333" t="s">
        <v>33</v>
      </c>
      <c r="H333">
        <v>2025</v>
      </c>
      <c r="I333" t="s">
        <v>1362</v>
      </c>
      <c r="J333" t="s">
        <v>1356</v>
      </c>
    </row>
    <row r="334" spans="1:10" x14ac:dyDescent="0.3">
      <c r="A334" s="21">
        <v>45876</v>
      </c>
      <c r="B334" t="s">
        <v>1256</v>
      </c>
      <c r="C334" t="s">
        <v>6</v>
      </c>
      <c r="D334">
        <v>4</v>
      </c>
      <c r="E334">
        <v>521</v>
      </c>
      <c r="F334">
        <v>2084</v>
      </c>
      <c r="G334" t="s">
        <v>11</v>
      </c>
      <c r="H334">
        <v>2025</v>
      </c>
      <c r="I334" t="s">
        <v>1362</v>
      </c>
      <c r="J334" t="s">
        <v>1356</v>
      </c>
    </row>
    <row r="335" spans="1:10" x14ac:dyDescent="0.3">
      <c r="A335" s="21">
        <v>45876</v>
      </c>
      <c r="B335" t="s">
        <v>268</v>
      </c>
      <c r="C335" t="s">
        <v>65</v>
      </c>
      <c r="D335">
        <v>4</v>
      </c>
      <c r="E335">
        <v>733</v>
      </c>
      <c r="F335">
        <v>2932</v>
      </c>
      <c r="G335" t="s">
        <v>7</v>
      </c>
      <c r="H335">
        <v>2025</v>
      </c>
      <c r="I335" t="s">
        <v>1362</v>
      </c>
      <c r="J335" t="s">
        <v>1356</v>
      </c>
    </row>
    <row r="336" spans="1:10" x14ac:dyDescent="0.3">
      <c r="A336" s="21">
        <v>45877</v>
      </c>
      <c r="B336" t="s">
        <v>155</v>
      </c>
      <c r="C336" t="s">
        <v>6</v>
      </c>
      <c r="D336">
        <v>5</v>
      </c>
      <c r="E336">
        <v>498</v>
      </c>
      <c r="F336">
        <v>2490</v>
      </c>
      <c r="G336" t="s">
        <v>27</v>
      </c>
      <c r="H336">
        <v>2025</v>
      </c>
      <c r="I336" t="s">
        <v>1362</v>
      </c>
      <c r="J336" t="s">
        <v>1366</v>
      </c>
    </row>
    <row r="337" spans="1:10" x14ac:dyDescent="0.3">
      <c r="A337" s="21">
        <v>45878</v>
      </c>
      <c r="B337" t="s">
        <v>1076</v>
      </c>
      <c r="C337" t="s">
        <v>65</v>
      </c>
      <c r="D337">
        <v>4</v>
      </c>
      <c r="E337">
        <v>213</v>
      </c>
      <c r="F337">
        <v>852</v>
      </c>
      <c r="G337" t="s">
        <v>33</v>
      </c>
      <c r="H337">
        <v>2025</v>
      </c>
      <c r="I337" t="s">
        <v>1362</v>
      </c>
      <c r="J337" t="s">
        <v>1359</v>
      </c>
    </row>
    <row r="338" spans="1:10" x14ac:dyDescent="0.3">
      <c r="A338" s="21">
        <v>45879</v>
      </c>
      <c r="B338" t="s">
        <v>520</v>
      </c>
      <c r="C338" t="s">
        <v>79</v>
      </c>
      <c r="D338">
        <v>3</v>
      </c>
      <c r="E338">
        <v>828</v>
      </c>
      <c r="F338">
        <v>2484</v>
      </c>
      <c r="G338" t="s">
        <v>11</v>
      </c>
      <c r="H338">
        <v>2025</v>
      </c>
      <c r="I338" t="s">
        <v>1362</v>
      </c>
      <c r="J338" t="s">
        <v>1361</v>
      </c>
    </row>
    <row r="339" spans="1:10" x14ac:dyDescent="0.3">
      <c r="A339" s="21">
        <v>45880</v>
      </c>
      <c r="B339" t="s">
        <v>1142</v>
      </c>
      <c r="C339" t="s">
        <v>6</v>
      </c>
      <c r="D339">
        <v>5</v>
      </c>
      <c r="E339">
        <v>636</v>
      </c>
      <c r="F339">
        <v>3180</v>
      </c>
      <c r="G339" t="s">
        <v>33</v>
      </c>
      <c r="H339">
        <v>2025</v>
      </c>
      <c r="I339" t="s">
        <v>1362</v>
      </c>
      <c r="J339" t="s">
        <v>1363</v>
      </c>
    </row>
    <row r="340" spans="1:10" x14ac:dyDescent="0.3">
      <c r="A340" s="21">
        <v>45881</v>
      </c>
      <c r="B340" t="s">
        <v>867</v>
      </c>
      <c r="C340" t="s">
        <v>38</v>
      </c>
      <c r="D340">
        <v>6</v>
      </c>
      <c r="E340">
        <v>403</v>
      </c>
      <c r="F340">
        <v>2418</v>
      </c>
      <c r="G340" t="s">
        <v>27</v>
      </c>
      <c r="H340">
        <v>2025</v>
      </c>
      <c r="I340" t="s">
        <v>1362</v>
      </c>
      <c r="J340" t="s">
        <v>1353</v>
      </c>
    </row>
    <row r="341" spans="1:10" x14ac:dyDescent="0.3">
      <c r="A341" s="21">
        <v>45884</v>
      </c>
      <c r="B341" t="s">
        <v>359</v>
      </c>
      <c r="C341" t="s">
        <v>79</v>
      </c>
      <c r="D341">
        <v>6</v>
      </c>
      <c r="E341">
        <v>707</v>
      </c>
      <c r="F341">
        <v>4242</v>
      </c>
      <c r="G341" t="s">
        <v>33</v>
      </c>
      <c r="H341">
        <v>2025</v>
      </c>
      <c r="I341" t="s">
        <v>1362</v>
      </c>
      <c r="J341" t="s">
        <v>1366</v>
      </c>
    </row>
    <row r="342" spans="1:10" x14ac:dyDescent="0.3">
      <c r="A342" s="21">
        <v>45885</v>
      </c>
      <c r="B342" t="s">
        <v>1024</v>
      </c>
      <c r="C342" t="s">
        <v>14</v>
      </c>
      <c r="D342">
        <v>4</v>
      </c>
      <c r="E342">
        <v>631</v>
      </c>
      <c r="F342">
        <v>2524</v>
      </c>
      <c r="G342" t="s">
        <v>33</v>
      </c>
      <c r="H342">
        <v>2025</v>
      </c>
      <c r="I342" t="s">
        <v>1362</v>
      </c>
      <c r="J342" t="s">
        <v>1359</v>
      </c>
    </row>
    <row r="343" spans="1:10" x14ac:dyDescent="0.3">
      <c r="A343" s="21">
        <v>45886</v>
      </c>
      <c r="B343" t="s">
        <v>1288</v>
      </c>
      <c r="C343" t="s">
        <v>79</v>
      </c>
      <c r="D343">
        <v>1</v>
      </c>
      <c r="E343">
        <v>300</v>
      </c>
      <c r="F343">
        <v>300</v>
      </c>
      <c r="G343" t="s">
        <v>33</v>
      </c>
      <c r="H343">
        <v>2025</v>
      </c>
      <c r="I343" t="s">
        <v>1362</v>
      </c>
      <c r="J343" t="s">
        <v>1361</v>
      </c>
    </row>
    <row r="344" spans="1:10" x14ac:dyDescent="0.3">
      <c r="A344" s="21">
        <v>45886</v>
      </c>
      <c r="B344" t="s">
        <v>135</v>
      </c>
      <c r="C344" t="s">
        <v>6</v>
      </c>
      <c r="D344">
        <v>1</v>
      </c>
      <c r="E344">
        <v>575</v>
      </c>
      <c r="F344">
        <v>575</v>
      </c>
      <c r="G344" t="s">
        <v>19</v>
      </c>
      <c r="H344">
        <v>2025</v>
      </c>
      <c r="I344" t="s">
        <v>1362</v>
      </c>
      <c r="J344" t="s">
        <v>1361</v>
      </c>
    </row>
    <row r="345" spans="1:10" x14ac:dyDescent="0.3">
      <c r="A345" s="21">
        <v>45886</v>
      </c>
      <c r="B345" t="s">
        <v>993</v>
      </c>
      <c r="C345" t="s">
        <v>30</v>
      </c>
      <c r="D345">
        <v>6</v>
      </c>
      <c r="E345">
        <v>586</v>
      </c>
      <c r="F345">
        <v>3516</v>
      </c>
      <c r="G345" t="s">
        <v>15</v>
      </c>
      <c r="H345">
        <v>2025</v>
      </c>
      <c r="I345" t="s">
        <v>1362</v>
      </c>
      <c r="J345" t="s">
        <v>1361</v>
      </c>
    </row>
    <row r="346" spans="1:10" x14ac:dyDescent="0.3">
      <c r="A346" s="21">
        <v>45887</v>
      </c>
      <c r="B346" t="s">
        <v>399</v>
      </c>
      <c r="C346" t="s">
        <v>79</v>
      </c>
      <c r="D346">
        <v>1</v>
      </c>
      <c r="E346">
        <v>404</v>
      </c>
      <c r="F346">
        <v>404</v>
      </c>
      <c r="G346" t="s">
        <v>7</v>
      </c>
      <c r="H346">
        <v>2025</v>
      </c>
      <c r="I346" t="s">
        <v>1362</v>
      </c>
      <c r="J346" t="s">
        <v>1363</v>
      </c>
    </row>
    <row r="347" spans="1:10" x14ac:dyDescent="0.3">
      <c r="A347" s="21">
        <v>45888</v>
      </c>
      <c r="B347" t="s">
        <v>1171</v>
      </c>
      <c r="C347" t="s">
        <v>68</v>
      </c>
      <c r="D347">
        <v>6</v>
      </c>
      <c r="E347">
        <v>109</v>
      </c>
      <c r="F347">
        <v>654</v>
      </c>
      <c r="G347" t="s">
        <v>27</v>
      </c>
      <c r="H347">
        <v>2025</v>
      </c>
      <c r="I347" t="s">
        <v>1362</v>
      </c>
      <c r="J347" t="s">
        <v>1353</v>
      </c>
    </row>
    <row r="348" spans="1:10" x14ac:dyDescent="0.3">
      <c r="A348" s="21">
        <v>45889</v>
      </c>
      <c r="B348" t="s">
        <v>1147</v>
      </c>
      <c r="C348" t="s">
        <v>24</v>
      </c>
      <c r="D348">
        <v>2</v>
      </c>
      <c r="E348">
        <v>385</v>
      </c>
      <c r="F348">
        <v>770</v>
      </c>
      <c r="G348" t="s">
        <v>15</v>
      </c>
      <c r="H348">
        <v>2025</v>
      </c>
      <c r="I348" t="s">
        <v>1362</v>
      </c>
      <c r="J348" t="s">
        <v>1358</v>
      </c>
    </row>
    <row r="349" spans="1:10" x14ac:dyDescent="0.3">
      <c r="A349" s="21">
        <v>45889</v>
      </c>
      <c r="B349" t="s">
        <v>806</v>
      </c>
      <c r="C349" t="s">
        <v>10</v>
      </c>
      <c r="D349">
        <v>6</v>
      </c>
      <c r="E349">
        <v>588</v>
      </c>
      <c r="F349">
        <v>3528</v>
      </c>
      <c r="G349" t="s">
        <v>33</v>
      </c>
      <c r="H349">
        <v>2025</v>
      </c>
      <c r="I349" t="s">
        <v>1362</v>
      </c>
      <c r="J349" t="s">
        <v>1358</v>
      </c>
    </row>
    <row r="350" spans="1:10" x14ac:dyDescent="0.3">
      <c r="A350" s="21">
        <v>45890</v>
      </c>
      <c r="B350" t="s">
        <v>579</v>
      </c>
      <c r="C350" t="s">
        <v>14</v>
      </c>
      <c r="D350">
        <v>4</v>
      </c>
      <c r="E350">
        <v>452</v>
      </c>
      <c r="F350">
        <v>1808</v>
      </c>
      <c r="G350" t="s">
        <v>15</v>
      </c>
      <c r="H350">
        <v>2025</v>
      </c>
      <c r="I350" t="s">
        <v>1362</v>
      </c>
      <c r="J350" t="s">
        <v>1356</v>
      </c>
    </row>
    <row r="351" spans="1:10" x14ac:dyDescent="0.3">
      <c r="A351" s="21">
        <v>45891</v>
      </c>
      <c r="B351" t="s">
        <v>254</v>
      </c>
      <c r="C351" t="s">
        <v>30</v>
      </c>
      <c r="D351">
        <v>2</v>
      </c>
      <c r="E351">
        <v>512</v>
      </c>
      <c r="F351">
        <v>1024</v>
      </c>
      <c r="G351" t="s">
        <v>7</v>
      </c>
      <c r="H351">
        <v>2025</v>
      </c>
      <c r="I351" t="s">
        <v>1362</v>
      </c>
      <c r="J351" t="s">
        <v>1366</v>
      </c>
    </row>
    <row r="352" spans="1:10" x14ac:dyDescent="0.3">
      <c r="A352" s="21">
        <v>45891</v>
      </c>
      <c r="B352" t="s">
        <v>945</v>
      </c>
      <c r="C352" t="s">
        <v>6</v>
      </c>
      <c r="D352">
        <v>5</v>
      </c>
      <c r="E352">
        <v>837</v>
      </c>
      <c r="F352">
        <v>4185</v>
      </c>
      <c r="G352" t="s">
        <v>27</v>
      </c>
      <c r="H352">
        <v>2025</v>
      </c>
      <c r="I352" t="s">
        <v>1362</v>
      </c>
      <c r="J352" t="s">
        <v>1366</v>
      </c>
    </row>
    <row r="353" spans="1:10" x14ac:dyDescent="0.3">
      <c r="A353" s="21">
        <v>45893</v>
      </c>
      <c r="B353" t="s">
        <v>1016</v>
      </c>
      <c r="C353" t="s">
        <v>68</v>
      </c>
      <c r="D353">
        <v>6</v>
      </c>
      <c r="E353">
        <v>240</v>
      </c>
      <c r="F353">
        <v>1440</v>
      </c>
      <c r="G353" t="s">
        <v>19</v>
      </c>
      <c r="H353">
        <v>2025</v>
      </c>
      <c r="I353" t="s">
        <v>1362</v>
      </c>
      <c r="J353" t="s">
        <v>1361</v>
      </c>
    </row>
    <row r="354" spans="1:10" x14ac:dyDescent="0.3">
      <c r="A354" s="21">
        <v>45895</v>
      </c>
      <c r="B354" t="s">
        <v>1197</v>
      </c>
      <c r="C354" t="s">
        <v>65</v>
      </c>
      <c r="D354">
        <v>1</v>
      </c>
      <c r="E354">
        <v>965</v>
      </c>
      <c r="F354">
        <v>965</v>
      </c>
      <c r="G354" t="s">
        <v>11</v>
      </c>
      <c r="H354">
        <v>2025</v>
      </c>
      <c r="I354" t="s">
        <v>1362</v>
      </c>
      <c r="J354" t="s">
        <v>1353</v>
      </c>
    </row>
    <row r="355" spans="1:10" x14ac:dyDescent="0.3">
      <c r="A355" s="21">
        <v>45897</v>
      </c>
      <c r="B355" t="s">
        <v>405</v>
      </c>
      <c r="C355" t="s">
        <v>65</v>
      </c>
      <c r="D355">
        <v>6</v>
      </c>
      <c r="E355">
        <v>340</v>
      </c>
      <c r="F355">
        <v>2040</v>
      </c>
      <c r="G355" t="s">
        <v>19</v>
      </c>
      <c r="H355">
        <v>2025</v>
      </c>
      <c r="I355" t="s">
        <v>1362</v>
      </c>
      <c r="J355" t="s">
        <v>1356</v>
      </c>
    </row>
    <row r="356" spans="1:10" x14ac:dyDescent="0.3">
      <c r="A356" s="21">
        <v>45899</v>
      </c>
      <c r="B356" t="s">
        <v>1116</v>
      </c>
      <c r="C356" t="s">
        <v>24</v>
      </c>
      <c r="D356">
        <v>5</v>
      </c>
      <c r="E356">
        <v>273</v>
      </c>
      <c r="F356">
        <v>1365</v>
      </c>
      <c r="G356" t="s">
        <v>27</v>
      </c>
      <c r="H356">
        <v>2025</v>
      </c>
      <c r="I356" t="s">
        <v>1362</v>
      </c>
      <c r="J356" t="s">
        <v>1359</v>
      </c>
    </row>
    <row r="357" spans="1:10" x14ac:dyDescent="0.3">
      <c r="A357" s="21">
        <v>45901</v>
      </c>
      <c r="B357" t="s">
        <v>137</v>
      </c>
      <c r="C357" t="s">
        <v>6</v>
      </c>
      <c r="D357">
        <v>3</v>
      </c>
      <c r="E357">
        <v>870</v>
      </c>
      <c r="F357">
        <v>2610</v>
      </c>
      <c r="G357" t="s">
        <v>19</v>
      </c>
      <c r="H357">
        <v>2025</v>
      </c>
      <c r="I357" t="s">
        <v>1364</v>
      </c>
      <c r="J357" t="s">
        <v>1363</v>
      </c>
    </row>
    <row r="358" spans="1:10" x14ac:dyDescent="0.3">
      <c r="A358" s="21">
        <v>45902</v>
      </c>
      <c r="B358" t="s">
        <v>610</v>
      </c>
      <c r="C358" t="s">
        <v>10</v>
      </c>
      <c r="D358">
        <v>4</v>
      </c>
      <c r="E358">
        <v>953</v>
      </c>
      <c r="F358">
        <v>3812</v>
      </c>
      <c r="G358" t="s">
        <v>15</v>
      </c>
      <c r="H358">
        <v>2025</v>
      </c>
      <c r="I358" t="s">
        <v>1364</v>
      </c>
      <c r="J358" t="s">
        <v>1353</v>
      </c>
    </row>
    <row r="359" spans="1:10" x14ac:dyDescent="0.3">
      <c r="A359" s="21">
        <v>45903</v>
      </c>
      <c r="B359" t="s">
        <v>1205</v>
      </c>
      <c r="C359" t="s">
        <v>38</v>
      </c>
      <c r="D359">
        <v>6</v>
      </c>
      <c r="E359">
        <v>234</v>
      </c>
      <c r="F359">
        <v>1404</v>
      </c>
      <c r="G359" t="s">
        <v>15</v>
      </c>
      <c r="H359">
        <v>2025</v>
      </c>
      <c r="I359" t="s">
        <v>1364</v>
      </c>
      <c r="J359" t="s">
        <v>1358</v>
      </c>
    </row>
    <row r="360" spans="1:10" x14ac:dyDescent="0.3">
      <c r="A360" s="21">
        <v>45905</v>
      </c>
      <c r="B360" t="s">
        <v>571</v>
      </c>
      <c r="C360" t="s">
        <v>14</v>
      </c>
      <c r="D360">
        <v>4</v>
      </c>
      <c r="E360">
        <v>950</v>
      </c>
      <c r="F360">
        <v>3800</v>
      </c>
      <c r="G360" t="s">
        <v>33</v>
      </c>
      <c r="H360">
        <v>2025</v>
      </c>
      <c r="I360" t="s">
        <v>1364</v>
      </c>
      <c r="J360" t="s">
        <v>1366</v>
      </c>
    </row>
    <row r="361" spans="1:10" x14ac:dyDescent="0.3">
      <c r="A361" s="21">
        <v>45906</v>
      </c>
      <c r="B361" t="s">
        <v>750</v>
      </c>
      <c r="C361" t="s">
        <v>68</v>
      </c>
      <c r="D361">
        <v>6</v>
      </c>
      <c r="E361">
        <v>541</v>
      </c>
      <c r="F361">
        <v>3246</v>
      </c>
      <c r="G361" t="s">
        <v>11</v>
      </c>
      <c r="H361">
        <v>2025</v>
      </c>
      <c r="I361" t="s">
        <v>1364</v>
      </c>
      <c r="J361" t="s">
        <v>1359</v>
      </c>
    </row>
    <row r="362" spans="1:10" x14ac:dyDescent="0.3">
      <c r="A362" s="21">
        <v>45907</v>
      </c>
      <c r="B362" t="s">
        <v>42</v>
      </c>
      <c r="C362" t="s">
        <v>10</v>
      </c>
      <c r="D362">
        <v>3</v>
      </c>
      <c r="E362">
        <v>426</v>
      </c>
      <c r="F362">
        <v>1278</v>
      </c>
      <c r="G362" t="s">
        <v>33</v>
      </c>
      <c r="H362">
        <v>2025</v>
      </c>
      <c r="I362" t="s">
        <v>1364</v>
      </c>
      <c r="J362" t="s">
        <v>1361</v>
      </c>
    </row>
    <row r="363" spans="1:10" x14ac:dyDescent="0.3">
      <c r="A363" s="21">
        <v>45908</v>
      </c>
      <c r="B363" t="s">
        <v>174</v>
      </c>
      <c r="C363" t="s">
        <v>65</v>
      </c>
      <c r="D363">
        <v>1</v>
      </c>
      <c r="E363">
        <v>804</v>
      </c>
      <c r="F363">
        <v>804</v>
      </c>
      <c r="G363" t="s">
        <v>19</v>
      </c>
      <c r="H363">
        <v>2025</v>
      </c>
      <c r="I363" t="s">
        <v>1364</v>
      </c>
      <c r="J363" t="s">
        <v>1363</v>
      </c>
    </row>
    <row r="364" spans="1:10" x14ac:dyDescent="0.3">
      <c r="A364" s="21">
        <v>45908</v>
      </c>
      <c r="B364" t="s">
        <v>711</v>
      </c>
      <c r="C364" t="s">
        <v>18</v>
      </c>
      <c r="D364">
        <v>5</v>
      </c>
      <c r="E364">
        <v>536</v>
      </c>
      <c r="F364">
        <v>2680</v>
      </c>
      <c r="G364" t="s">
        <v>15</v>
      </c>
      <c r="H364">
        <v>2025</v>
      </c>
      <c r="I364" t="s">
        <v>1364</v>
      </c>
      <c r="J364" t="s">
        <v>1363</v>
      </c>
    </row>
    <row r="365" spans="1:10" x14ac:dyDescent="0.3">
      <c r="A365" s="21">
        <v>45909</v>
      </c>
      <c r="B365" t="s">
        <v>513</v>
      </c>
      <c r="C365" t="s">
        <v>38</v>
      </c>
      <c r="D365">
        <v>6</v>
      </c>
      <c r="E365">
        <v>785</v>
      </c>
      <c r="F365">
        <v>4710</v>
      </c>
      <c r="G365" t="s">
        <v>27</v>
      </c>
      <c r="H365">
        <v>2025</v>
      </c>
      <c r="I365" t="s">
        <v>1364</v>
      </c>
      <c r="J365" t="s">
        <v>1353</v>
      </c>
    </row>
    <row r="366" spans="1:10" x14ac:dyDescent="0.3">
      <c r="A366" s="21">
        <v>45910</v>
      </c>
      <c r="B366" t="s">
        <v>1131</v>
      </c>
      <c r="C366" t="s">
        <v>65</v>
      </c>
      <c r="D366">
        <v>3</v>
      </c>
      <c r="E366">
        <v>129</v>
      </c>
      <c r="F366">
        <v>387</v>
      </c>
      <c r="G366" t="s">
        <v>15</v>
      </c>
      <c r="H366">
        <v>2025</v>
      </c>
      <c r="I366" t="s">
        <v>1364</v>
      </c>
      <c r="J366" t="s">
        <v>1358</v>
      </c>
    </row>
    <row r="367" spans="1:10" x14ac:dyDescent="0.3">
      <c r="A367" s="21">
        <v>45912</v>
      </c>
      <c r="B367" t="s">
        <v>504</v>
      </c>
      <c r="C367" t="s">
        <v>68</v>
      </c>
      <c r="D367">
        <v>3</v>
      </c>
      <c r="E367">
        <v>398</v>
      </c>
      <c r="F367">
        <v>1194</v>
      </c>
      <c r="G367" t="s">
        <v>19</v>
      </c>
      <c r="H367">
        <v>2025</v>
      </c>
      <c r="I367" t="s">
        <v>1364</v>
      </c>
      <c r="J367" t="s">
        <v>1366</v>
      </c>
    </row>
    <row r="368" spans="1:10" x14ac:dyDescent="0.3">
      <c r="A368" s="21">
        <v>45913</v>
      </c>
      <c r="B368" t="s">
        <v>1176</v>
      </c>
      <c r="C368" t="s">
        <v>14</v>
      </c>
      <c r="D368">
        <v>2</v>
      </c>
      <c r="E368">
        <v>365</v>
      </c>
      <c r="F368">
        <v>730</v>
      </c>
      <c r="G368" t="s">
        <v>33</v>
      </c>
      <c r="H368">
        <v>2025</v>
      </c>
      <c r="I368" t="s">
        <v>1364</v>
      </c>
      <c r="J368" t="s">
        <v>1359</v>
      </c>
    </row>
    <row r="369" spans="1:10" x14ac:dyDescent="0.3">
      <c r="A369" s="21">
        <v>45914</v>
      </c>
      <c r="B369" t="s">
        <v>919</v>
      </c>
      <c r="C369" t="s">
        <v>24</v>
      </c>
      <c r="D369">
        <v>5</v>
      </c>
      <c r="E369">
        <v>152</v>
      </c>
      <c r="F369">
        <v>760</v>
      </c>
      <c r="G369" t="s">
        <v>11</v>
      </c>
      <c r="H369">
        <v>2025</v>
      </c>
      <c r="I369" t="s">
        <v>1364</v>
      </c>
      <c r="J369" t="s">
        <v>1361</v>
      </c>
    </row>
    <row r="370" spans="1:10" x14ac:dyDescent="0.3">
      <c r="A370" s="21">
        <v>45914</v>
      </c>
      <c r="B370" t="s">
        <v>729</v>
      </c>
      <c r="C370" t="s">
        <v>68</v>
      </c>
      <c r="D370">
        <v>5</v>
      </c>
      <c r="E370">
        <v>943</v>
      </c>
      <c r="F370">
        <v>4715</v>
      </c>
      <c r="G370" t="s">
        <v>27</v>
      </c>
      <c r="H370">
        <v>2025</v>
      </c>
      <c r="I370" t="s">
        <v>1364</v>
      </c>
      <c r="J370" t="s">
        <v>1361</v>
      </c>
    </row>
    <row r="371" spans="1:10" x14ac:dyDescent="0.3">
      <c r="A371" s="21">
        <v>45915</v>
      </c>
      <c r="B371" t="s">
        <v>1279</v>
      </c>
      <c r="C371" t="s">
        <v>38</v>
      </c>
      <c r="D371">
        <v>4</v>
      </c>
      <c r="E371">
        <v>153</v>
      </c>
      <c r="F371">
        <v>612</v>
      </c>
      <c r="G371" t="s">
        <v>15</v>
      </c>
      <c r="H371">
        <v>2025</v>
      </c>
      <c r="I371" t="s">
        <v>1364</v>
      </c>
      <c r="J371" t="s">
        <v>1363</v>
      </c>
    </row>
    <row r="372" spans="1:10" x14ac:dyDescent="0.3">
      <c r="A372" s="21">
        <v>45915</v>
      </c>
      <c r="B372" t="s">
        <v>384</v>
      </c>
      <c r="C372" t="s">
        <v>18</v>
      </c>
      <c r="D372">
        <v>2</v>
      </c>
      <c r="E372">
        <v>982</v>
      </c>
      <c r="F372">
        <v>1964</v>
      </c>
      <c r="G372" t="s">
        <v>15</v>
      </c>
      <c r="H372">
        <v>2025</v>
      </c>
      <c r="I372" t="s">
        <v>1364</v>
      </c>
      <c r="J372" t="s">
        <v>1363</v>
      </c>
    </row>
    <row r="373" spans="1:10" x14ac:dyDescent="0.3">
      <c r="A373" s="21">
        <v>45916</v>
      </c>
      <c r="B373" t="s">
        <v>336</v>
      </c>
      <c r="C373" t="s">
        <v>38</v>
      </c>
      <c r="D373">
        <v>1</v>
      </c>
      <c r="E373">
        <v>366</v>
      </c>
      <c r="F373">
        <v>366</v>
      </c>
      <c r="G373" t="s">
        <v>7</v>
      </c>
      <c r="H373">
        <v>2025</v>
      </c>
      <c r="I373" t="s">
        <v>1364</v>
      </c>
      <c r="J373" t="s">
        <v>1353</v>
      </c>
    </row>
    <row r="374" spans="1:10" x14ac:dyDescent="0.3">
      <c r="A374" s="21">
        <v>45917</v>
      </c>
      <c r="B374" t="s">
        <v>599</v>
      </c>
      <c r="C374" t="s">
        <v>24</v>
      </c>
      <c r="D374">
        <v>1</v>
      </c>
      <c r="E374">
        <v>342</v>
      </c>
      <c r="F374">
        <v>342</v>
      </c>
      <c r="G374" t="s">
        <v>11</v>
      </c>
      <c r="H374">
        <v>2025</v>
      </c>
      <c r="I374" t="s">
        <v>1364</v>
      </c>
      <c r="J374" t="s">
        <v>1358</v>
      </c>
    </row>
    <row r="375" spans="1:10" x14ac:dyDescent="0.3">
      <c r="A375" s="21">
        <v>45917</v>
      </c>
      <c r="B375" t="s">
        <v>176</v>
      </c>
      <c r="C375" t="s">
        <v>10</v>
      </c>
      <c r="D375">
        <v>6</v>
      </c>
      <c r="E375">
        <v>669</v>
      </c>
      <c r="F375">
        <v>4014</v>
      </c>
      <c r="G375" t="s">
        <v>7</v>
      </c>
      <c r="H375">
        <v>2025</v>
      </c>
      <c r="I375" t="s">
        <v>1364</v>
      </c>
      <c r="J375" t="s">
        <v>1358</v>
      </c>
    </row>
    <row r="376" spans="1:10" x14ac:dyDescent="0.3">
      <c r="A376" s="21">
        <v>45919</v>
      </c>
      <c r="B376" t="s">
        <v>815</v>
      </c>
      <c r="C376" t="s">
        <v>10</v>
      </c>
      <c r="D376">
        <v>2</v>
      </c>
      <c r="E376">
        <v>400</v>
      </c>
      <c r="F376">
        <v>800</v>
      </c>
      <c r="G376" t="s">
        <v>33</v>
      </c>
      <c r="H376">
        <v>2025</v>
      </c>
      <c r="I376" t="s">
        <v>1364</v>
      </c>
      <c r="J376" t="s">
        <v>1366</v>
      </c>
    </row>
    <row r="377" spans="1:10" x14ac:dyDescent="0.3">
      <c r="A377" s="21">
        <v>45919</v>
      </c>
      <c r="B377" t="s">
        <v>199</v>
      </c>
      <c r="C377" t="s">
        <v>65</v>
      </c>
      <c r="D377">
        <v>4</v>
      </c>
      <c r="E377">
        <v>457</v>
      </c>
      <c r="F377">
        <v>1828</v>
      </c>
      <c r="G377" t="s">
        <v>33</v>
      </c>
      <c r="H377">
        <v>2025</v>
      </c>
      <c r="I377" t="s">
        <v>1364</v>
      </c>
      <c r="J377" t="s">
        <v>1366</v>
      </c>
    </row>
    <row r="378" spans="1:10" x14ac:dyDescent="0.3">
      <c r="A378" s="21">
        <v>45920</v>
      </c>
      <c r="B378" t="s">
        <v>713</v>
      </c>
      <c r="C378" t="s">
        <v>14</v>
      </c>
      <c r="D378">
        <v>3</v>
      </c>
      <c r="E378">
        <v>885</v>
      </c>
      <c r="F378">
        <v>2655</v>
      </c>
      <c r="G378" t="s">
        <v>11</v>
      </c>
      <c r="H378">
        <v>2025</v>
      </c>
      <c r="I378" t="s">
        <v>1364</v>
      </c>
      <c r="J378" t="s">
        <v>1359</v>
      </c>
    </row>
    <row r="379" spans="1:10" x14ac:dyDescent="0.3">
      <c r="A379" s="21">
        <v>45921</v>
      </c>
      <c r="B379" t="s">
        <v>96</v>
      </c>
      <c r="C379" t="s">
        <v>79</v>
      </c>
      <c r="D379">
        <v>5</v>
      </c>
      <c r="E379">
        <v>220</v>
      </c>
      <c r="F379">
        <v>1100</v>
      </c>
      <c r="G379" t="s">
        <v>11</v>
      </c>
      <c r="H379">
        <v>2025</v>
      </c>
      <c r="I379" t="s">
        <v>1364</v>
      </c>
      <c r="J379" t="s">
        <v>1361</v>
      </c>
    </row>
    <row r="380" spans="1:10" x14ac:dyDescent="0.3">
      <c r="A380" s="21">
        <v>45921</v>
      </c>
      <c r="B380" t="s">
        <v>412</v>
      </c>
      <c r="C380" t="s">
        <v>6</v>
      </c>
      <c r="D380">
        <v>6</v>
      </c>
      <c r="E380">
        <v>614</v>
      </c>
      <c r="F380">
        <v>3684</v>
      </c>
      <c r="G380" t="s">
        <v>27</v>
      </c>
      <c r="H380">
        <v>2025</v>
      </c>
      <c r="I380" t="s">
        <v>1364</v>
      </c>
      <c r="J380" t="s">
        <v>1361</v>
      </c>
    </row>
    <row r="381" spans="1:10" x14ac:dyDescent="0.3">
      <c r="A381" s="21">
        <v>45922</v>
      </c>
      <c r="B381" t="s">
        <v>655</v>
      </c>
      <c r="C381" t="s">
        <v>14</v>
      </c>
      <c r="D381">
        <v>4</v>
      </c>
      <c r="E381">
        <v>621</v>
      </c>
      <c r="F381">
        <v>2484</v>
      </c>
      <c r="G381" t="s">
        <v>7</v>
      </c>
      <c r="H381">
        <v>2025</v>
      </c>
      <c r="I381" t="s">
        <v>1364</v>
      </c>
      <c r="J381" t="s">
        <v>1363</v>
      </c>
    </row>
    <row r="382" spans="1:10" x14ac:dyDescent="0.3">
      <c r="A382" s="21">
        <v>45925</v>
      </c>
      <c r="B382" t="s">
        <v>398</v>
      </c>
      <c r="C382" t="s">
        <v>6</v>
      </c>
      <c r="D382">
        <v>5</v>
      </c>
      <c r="E382">
        <v>280</v>
      </c>
      <c r="F382">
        <v>1400</v>
      </c>
      <c r="G382" t="s">
        <v>7</v>
      </c>
      <c r="H382">
        <v>2025</v>
      </c>
      <c r="I382" t="s">
        <v>1364</v>
      </c>
      <c r="J382" t="s">
        <v>1356</v>
      </c>
    </row>
    <row r="383" spans="1:10" x14ac:dyDescent="0.3">
      <c r="A383" s="21">
        <v>45925</v>
      </c>
      <c r="B383" t="s">
        <v>1124</v>
      </c>
      <c r="C383" t="s">
        <v>65</v>
      </c>
      <c r="D383">
        <v>6</v>
      </c>
      <c r="E383">
        <v>856</v>
      </c>
      <c r="F383">
        <v>5136</v>
      </c>
      <c r="G383" t="s">
        <v>7</v>
      </c>
      <c r="H383">
        <v>2025</v>
      </c>
      <c r="I383" t="s">
        <v>1364</v>
      </c>
      <c r="J383" t="s">
        <v>1356</v>
      </c>
    </row>
    <row r="384" spans="1:10" x14ac:dyDescent="0.3">
      <c r="A384" s="21">
        <v>45926</v>
      </c>
      <c r="B384" t="s">
        <v>556</v>
      </c>
      <c r="C384" t="s">
        <v>30</v>
      </c>
      <c r="D384">
        <v>2</v>
      </c>
      <c r="E384">
        <v>788</v>
      </c>
      <c r="F384">
        <v>1576</v>
      </c>
      <c r="G384" t="s">
        <v>19</v>
      </c>
      <c r="H384">
        <v>2025</v>
      </c>
      <c r="I384" t="s">
        <v>1364</v>
      </c>
      <c r="J384" t="s">
        <v>1366</v>
      </c>
    </row>
    <row r="385" spans="1:10" x14ac:dyDescent="0.3">
      <c r="A385" s="21">
        <v>45926</v>
      </c>
      <c r="B385" t="s">
        <v>952</v>
      </c>
      <c r="C385" t="s">
        <v>68</v>
      </c>
      <c r="D385">
        <v>6</v>
      </c>
      <c r="E385">
        <v>806</v>
      </c>
      <c r="F385">
        <v>4836</v>
      </c>
      <c r="G385" t="s">
        <v>27</v>
      </c>
      <c r="H385">
        <v>2025</v>
      </c>
      <c r="I385" t="s">
        <v>1364</v>
      </c>
      <c r="J385" t="s">
        <v>1366</v>
      </c>
    </row>
    <row r="386" spans="1:10" x14ac:dyDescent="0.3">
      <c r="A386" s="21">
        <v>45927</v>
      </c>
      <c r="B386" t="s">
        <v>681</v>
      </c>
      <c r="C386" t="s">
        <v>14</v>
      </c>
      <c r="D386">
        <v>1</v>
      </c>
      <c r="E386">
        <v>202</v>
      </c>
      <c r="F386">
        <v>202</v>
      </c>
      <c r="G386" t="s">
        <v>19</v>
      </c>
      <c r="H386">
        <v>2025</v>
      </c>
      <c r="I386" t="s">
        <v>1364</v>
      </c>
      <c r="J386" t="s">
        <v>1359</v>
      </c>
    </row>
    <row r="387" spans="1:10" x14ac:dyDescent="0.3">
      <c r="A387" s="21">
        <v>45927</v>
      </c>
      <c r="B387" t="s">
        <v>496</v>
      </c>
      <c r="C387" t="s">
        <v>68</v>
      </c>
      <c r="D387">
        <v>3</v>
      </c>
      <c r="E387">
        <v>211</v>
      </c>
      <c r="F387">
        <v>633</v>
      </c>
      <c r="G387" t="s">
        <v>27</v>
      </c>
      <c r="H387">
        <v>2025</v>
      </c>
      <c r="I387" t="s">
        <v>1364</v>
      </c>
      <c r="J387" t="s">
        <v>1359</v>
      </c>
    </row>
    <row r="388" spans="1:10" x14ac:dyDescent="0.3">
      <c r="A388" s="21">
        <v>45928</v>
      </c>
      <c r="B388" t="s">
        <v>1071</v>
      </c>
      <c r="C388" t="s">
        <v>14</v>
      </c>
      <c r="D388">
        <v>1</v>
      </c>
      <c r="E388">
        <v>171</v>
      </c>
      <c r="F388">
        <v>171</v>
      </c>
      <c r="G388" t="s">
        <v>7</v>
      </c>
      <c r="H388">
        <v>2025</v>
      </c>
      <c r="I388" t="s">
        <v>1364</v>
      </c>
      <c r="J388" t="s">
        <v>1361</v>
      </c>
    </row>
    <row r="389" spans="1:10" x14ac:dyDescent="0.3">
      <c r="A389" s="21">
        <v>45929</v>
      </c>
      <c r="B389" t="s">
        <v>539</v>
      </c>
      <c r="C389" t="s">
        <v>6</v>
      </c>
      <c r="D389">
        <v>1</v>
      </c>
      <c r="E389">
        <v>101</v>
      </c>
      <c r="F389">
        <v>101</v>
      </c>
      <c r="G389" t="s">
        <v>33</v>
      </c>
      <c r="H389">
        <v>2025</v>
      </c>
      <c r="I389" t="s">
        <v>1364</v>
      </c>
      <c r="J389" t="s">
        <v>1363</v>
      </c>
    </row>
    <row r="390" spans="1:10" x14ac:dyDescent="0.3">
      <c r="A390" s="21">
        <v>45930</v>
      </c>
      <c r="B390" t="s">
        <v>386</v>
      </c>
      <c r="C390" t="s">
        <v>24</v>
      </c>
      <c r="D390">
        <v>6</v>
      </c>
      <c r="E390">
        <v>106</v>
      </c>
      <c r="F390">
        <v>636</v>
      </c>
      <c r="G390" t="s">
        <v>19</v>
      </c>
      <c r="H390">
        <v>2025</v>
      </c>
      <c r="I390" t="s">
        <v>1364</v>
      </c>
      <c r="J390" t="s">
        <v>1353</v>
      </c>
    </row>
    <row r="391" spans="1:10" x14ac:dyDescent="0.3">
      <c r="A391" s="21">
        <v>45930</v>
      </c>
      <c r="B391" t="s">
        <v>1072</v>
      </c>
      <c r="C391" t="s">
        <v>68</v>
      </c>
      <c r="D391">
        <v>3</v>
      </c>
      <c r="E391">
        <v>526</v>
      </c>
      <c r="F391">
        <v>1578</v>
      </c>
      <c r="G391" t="s">
        <v>11</v>
      </c>
      <c r="H391">
        <v>2025</v>
      </c>
      <c r="I391" t="s">
        <v>1364</v>
      </c>
      <c r="J391" t="s">
        <v>1353</v>
      </c>
    </row>
    <row r="392" spans="1:10" x14ac:dyDescent="0.3">
      <c r="A392" s="21">
        <v>45931</v>
      </c>
      <c r="B392" t="s">
        <v>715</v>
      </c>
      <c r="C392" t="s">
        <v>10</v>
      </c>
      <c r="D392">
        <v>3</v>
      </c>
      <c r="E392">
        <v>67</v>
      </c>
      <c r="F392">
        <v>201</v>
      </c>
      <c r="G392" t="s">
        <v>15</v>
      </c>
      <c r="H392">
        <v>2025</v>
      </c>
      <c r="I392" t="s">
        <v>1365</v>
      </c>
      <c r="J392" t="s">
        <v>1358</v>
      </c>
    </row>
    <row r="393" spans="1:10" x14ac:dyDescent="0.3">
      <c r="A393" s="21">
        <v>45932</v>
      </c>
      <c r="B393" t="s">
        <v>1101</v>
      </c>
      <c r="C393" t="s">
        <v>14</v>
      </c>
      <c r="D393">
        <v>2</v>
      </c>
      <c r="E393">
        <v>515</v>
      </c>
      <c r="F393">
        <v>1030</v>
      </c>
      <c r="G393" t="s">
        <v>19</v>
      </c>
      <c r="H393">
        <v>2025</v>
      </c>
      <c r="I393" t="s">
        <v>1365</v>
      </c>
      <c r="J393" t="s">
        <v>1356</v>
      </c>
    </row>
    <row r="394" spans="1:10" x14ac:dyDescent="0.3">
      <c r="A394" s="21">
        <v>45932</v>
      </c>
      <c r="B394" t="s">
        <v>479</v>
      </c>
      <c r="C394" t="s">
        <v>10</v>
      </c>
      <c r="D394">
        <v>5</v>
      </c>
      <c r="E394">
        <v>707</v>
      </c>
      <c r="F394">
        <v>3535</v>
      </c>
      <c r="G394" t="s">
        <v>19</v>
      </c>
      <c r="H394">
        <v>2025</v>
      </c>
      <c r="I394" t="s">
        <v>1365</v>
      </c>
      <c r="J394" t="s">
        <v>1356</v>
      </c>
    </row>
    <row r="395" spans="1:10" x14ac:dyDescent="0.3">
      <c r="A395" s="21">
        <v>45933</v>
      </c>
      <c r="B395" t="s">
        <v>186</v>
      </c>
      <c r="C395" t="s">
        <v>6</v>
      </c>
      <c r="D395">
        <v>1</v>
      </c>
      <c r="E395">
        <v>504</v>
      </c>
      <c r="F395">
        <v>504</v>
      </c>
      <c r="G395" t="s">
        <v>7</v>
      </c>
      <c r="H395">
        <v>2025</v>
      </c>
      <c r="I395" t="s">
        <v>1365</v>
      </c>
      <c r="J395" t="s">
        <v>1366</v>
      </c>
    </row>
    <row r="396" spans="1:10" x14ac:dyDescent="0.3">
      <c r="A396" s="21">
        <v>45933</v>
      </c>
      <c r="B396" t="s">
        <v>590</v>
      </c>
      <c r="C396" t="s">
        <v>14</v>
      </c>
      <c r="D396">
        <v>5</v>
      </c>
      <c r="E396">
        <v>338</v>
      </c>
      <c r="F396">
        <v>1690</v>
      </c>
      <c r="G396" t="s">
        <v>27</v>
      </c>
      <c r="H396">
        <v>2025</v>
      </c>
      <c r="I396" t="s">
        <v>1365</v>
      </c>
      <c r="J396" t="s">
        <v>1366</v>
      </c>
    </row>
    <row r="397" spans="1:10" x14ac:dyDescent="0.3">
      <c r="A397" s="21">
        <v>45933</v>
      </c>
      <c r="B397" t="s">
        <v>1282</v>
      </c>
      <c r="C397" t="s">
        <v>30</v>
      </c>
      <c r="D397">
        <v>4</v>
      </c>
      <c r="E397">
        <v>507</v>
      </c>
      <c r="F397">
        <v>2028</v>
      </c>
      <c r="G397" t="s">
        <v>19</v>
      </c>
      <c r="H397">
        <v>2025</v>
      </c>
      <c r="I397" t="s">
        <v>1365</v>
      </c>
      <c r="J397" t="s">
        <v>1366</v>
      </c>
    </row>
    <row r="398" spans="1:10" x14ac:dyDescent="0.3">
      <c r="A398" s="21">
        <v>45934</v>
      </c>
      <c r="B398" t="s">
        <v>1278</v>
      </c>
      <c r="C398" t="s">
        <v>6</v>
      </c>
      <c r="D398">
        <v>4</v>
      </c>
      <c r="E398">
        <v>118</v>
      </c>
      <c r="F398">
        <v>472</v>
      </c>
      <c r="G398" t="s">
        <v>11</v>
      </c>
      <c r="H398">
        <v>2025</v>
      </c>
      <c r="I398" t="s">
        <v>1365</v>
      </c>
      <c r="J398" t="s">
        <v>1359</v>
      </c>
    </row>
    <row r="399" spans="1:10" x14ac:dyDescent="0.3">
      <c r="A399" s="21">
        <v>45935</v>
      </c>
      <c r="B399" t="s">
        <v>383</v>
      </c>
      <c r="C399" t="s">
        <v>65</v>
      </c>
      <c r="D399">
        <v>1</v>
      </c>
      <c r="E399">
        <v>564</v>
      </c>
      <c r="F399">
        <v>564</v>
      </c>
      <c r="G399" t="s">
        <v>11</v>
      </c>
      <c r="H399">
        <v>2025</v>
      </c>
      <c r="I399" t="s">
        <v>1365</v>
      </c>
      <c r="J399" t="s">
        <v>1361</v>
      </c>
    </row>
    <row r="400" spans="1:10" x14ac:dyDescent="0.3">
      <c r="A400" s="21">
        <v>45936</v>
      </c>
      <c r="B400" t="s">
        <v>1331</v>
      </c>
      <c r="C400" t="s">
        <v>24</v>
      </c>
      <c r="D400">
        <v>3</v>
      </c>
      <c r="E400">
        <v>229</v>
      </c>
      <c r="F400">
        <v>687</v>
      </c>
      <c r="G400" t="s">
        <v>15</v>
      </c>
      <c r="H400">
        <v>2025</v>
      </c>
      <c r="I400" t="s">
        <v>1365</v>
      </c>
      <c r="J400" t="s">
        <v>1363</v>
      </c>
    </row>
    <row r="401" spans="1:10" x14ac:dyDescent="0.3">
      <c r="A401" s="21">
        <v>45936</v>
      </c>
      <c r="B401" t="s">
        <v>837</v>
      </c>
      <c r="C401" t="s">
        <v>24</v>
      </c>
      <c r="D401">
        <v>5</v>
      </c>
      <c r="E401">
        <v>621</v>
      </c>
      <c r="F401">
        <v>3105</v>
      </c>
      <c r="G401" t="s">
        <v>7</v>
      </c>
      <c r="H401">
        <v>2025</v>
      </c>
      <c r="I401" t="s">
        <v>1365</v>
      </c>
      <c r="J401" t="s">
        <v>1363</v>
      </c>
    </row>
    <row r="402" spans="1:10" x14ac:dyDescent="0.3">
      <c r="A402" s="21">
        <v>45937</v>
      </c>
      <c r="B402" t="s">
        <v>194</v>
      </c>
      <c r="C402" t="s">
        <v>18</v>
      </c>
      <c r="D402">
        <v>3</v>
      </c>
      <c r="E402">
        <v>190</v>
      </c>
      <c r="F402">
        <v>570</v>
      </c>
      <c r="G402" t="s">
        <v>15</v>
      </c>
      <c r="H402">
        <v>2025</v>
      </c>
      <c r="I402" t="s">
        <v>1365</v>
      </c>
      <c r="J402" t="s">
        <v>1353</v>
      </c>
    </row>
    <row r="403" spans="1:10" x14ac:dyDescent="0.3">
      <c r="A403" s="21">
        <v>45937</v>
      </c>
      <c r="B403" t="s">
        <v>457</v>
      </c>
      <c r="C403" t="s">
        <v>38</v>
      </c>
      <c r="D403">
        <v>2</v>
      </c>
      <c r="E403">
        <v>706</v>
      </c>
      <c r="F403">
        <v>1412</v>
      </c>
      <c r="G403" t="s">
        <v>33</v>
      </c>
      <c r="H403">
        <v>2025</v>
      </c>
      <c r="I403" t="s">
        <v>1365</v>
      </c>
      <c r="J403" t="s">
        <v>1353</v>
      </c>
    </row>
    <row r="404" spans="1:10" x14ac:dyDescent="0.3">
      <c r="A404" s="21">
        <v>45937</v>
      </c>
      <c r="B404" t="s">
        <v>1216</v>
      </c>
      <c r="C404" t="s">
        <v>68</v>
      </c>
      <c r="D404">
        <v>4</v>
      </c>
      <c r="E404">
        <v>509</v>
      </c>
      <c r="F404">
        <v>2036</v>
      </c>
      <c r="G404" t="s">
        <v>7</v>
      </c>
      <c r="H404">
        <v>2025</v>
      </c>
      <c r="I404" t="s">
        <v>1365</v>
      </c>
      <c r="J404" t="s">
        <v>1353</v>
      </c>
    </row>
    <row r="405" spans="1:10" x14ac:dyDescent="0.3">
      <c r="A405" s="21">
        <v>45937</v>
      </c>
      <c r="B405" t="s">
        <v>1250</v>
      </c>
      <c r="C405" t="s">
        <v>14</v>
      </c>
      <c r="D405">
        <v>5</v>
      </c>
      <c r="E405">
        <v>594</v>
      </c>
      <c r="F405">
        <v>2970</v>
      </c>
      <c r="G405" t="s">
        <v>11</v>
      </c>
      <c r="H405">
        <v>2025</v>
      </c>
      <c r="I405" t="s">
        <v>1365</v>
      </c>
      <c r="J405" t="s">
        <v>1353</v>
      </c>
    </row>
    <row r="406" spans="1:10" x14ac:dyDescent="0.3">
      <c r="A406" s="21">
        <v>45939</v>
      </c>
      <c r="B406" t="s">
        <v>244</v>
      </c>
      <c r="C406" t="s">
        <v>38</v>
      </c>
      <c r="D406">
        <v>1</v>
      </c>
      <c r="E406">
        <v>254</v>
      </c>
      <c r="F406">
        <v>254</v>
      </c>
      <c r="G406" t="s">
        <v>7</v>
      </c>
      <c r="H406">
        <v>2025</v>
      </c>
      <c r="I406" t="s">
        <v>1365</v>
      </c>
      <c r="J406" t="s">
        <v>1356</v>
      </c>
    </row>
    <row r="407" spans="1:10" x14ac:dyDescent="0.3">
      <c r="A407" s="21">
        <v>45940</v>
      </c>
      <c r="B407" t="s">
        <v>301</v>
      </c>
      <c r="C407" t="s">
        <v>6</v>
      </c>
      <c r="D407">
        <v>6</v>
      </c>
      <c r="E407">
        <v>174</v>
      </c>
      <c r="F407">
        <v>1044</v>
      </c>
      <c r="G407" t="s">
        <v>11</v>
      </c>
      <c r="H407">
        <v>2025</v>
      </c>
      <c r="I407" t="s">
        <v>1365</v>
      </c>
      <c r="J407" t="s">
        <v>1366</v>
      </c>
    </row>
    <row r="408" spans="1:10" x14ac:dyDescent="0.3">
      <c r="A408" s="21">
        <v>45940</v>
      </c>
      <c r="B408" t="s">
        <v>128</v>
      </c>
      <c r="C408" t="s">
        <v>10</v>
      </c>
      <c r="D408">
        <v>5</v>
      </c>
      <c r="E408">
        <v>737</v>
      </c>
      <c r="F408">
        <v>3685</v>
      </c>
      <c r="G408" t="s">
        <v>7</v>
      </c>
      <c r="H408">
        <v>2025</v>
      </c>
      <c r="I408" t="s">
        <v>1365</v>
      </c>
      <c r="J408" t="s">
        <v>1366</v>
      </c>
    </row>
    <row r="409" spans="1:10" x14ac:dyDescent="0.3">
      <c r="A409" s="21">
        <v>45942</v>
      </c>
      <c r="B409" t="s">
        <v>1097</v>
      </c>
      <c r="C409" t="s">
        <v>18</v>
      </c>
      <c r="D409">
        <v>2</v>
      </c>
      <c r="E409">
        <v>186</v>
      </c>
      <c r="F409">
        <v>372</v>
      </c>
      <c r="G409" t="s">
        <v>33</v>
      </c>
      <c r="H409">
        <v>2025</v>
      </c>
      <c r="I409" t="s">
        <v>1365</v>
      </c>
      <c r="J409" t="s">
        <v>1361</v>
      </c>
    </row>
    <row r="410" spans="1:10" x14ac:dyDescent="0.3">
      <c r="A410" s="21">
        <v>45943</v>
      </c>
      <c r="B410" t="s">
        <v>391</v>
      </c>
      <c r="C410" t="s">
        <v>18</v>
      </c>
      <c r="D410">
        <v>5</v>
      </c>
      <c r="E410">
        <v>206</v>
      </c>
      <c r="F410">
        <v>1030</v>
      </c>
      <c r="G410" t="s">
        <v>15</v>
      </c>
      <c r="H410">
        <v>2025</v>
      </c>
      <c r="I410" t="s">
        <v>1365</v>
      </c>
      <c r="J410" t="s">
        <v>1363</v>
      </c>
    </row>
    <row r="411" spans="1:10" x14ac:dyDescent="0.3">
      <c r="A411" s="21">
        <v>45943</v>
      </c>
      <c r="B411" t="s">
        <v>1138</v>
      </c>
      <c r="C411" t="s">
        <v>6</v>
      </c>
      <c r="D411">
        <v>3</v>
      </c>
      <c r="E411">
        <v>610</v>
      </c>
      <c r="F411">
        <v>1830</v>
      </c>
      <c r="G411" t="s">
        <v>19</v>
      </c>
      <c r="H411">
        <v>2025</v>
      </c>
      <c r="I411" t="s">
        <v>1365</v>
      </c>
      <c r="J411" t="s">
        <v>1363</v>
      </c>
    </row>
    <row r="412" spans="1:10" x14ac:dyDescent="0.3">
      <c r="A412" s="21">
        <v>45944</v>
      </c>
      <c r="B412" t="s">
        <v>705</v>
      </c>
      <c r="C412" t="s">
        <v>38</v>
      </c>
      <c r="D412">
        <v>3</v>
      </c>
      <c r="E412">
        <v>571</v>
      </c>
      <c r="F412">
        <v>1713</v>
      </c>
      <c r="G412" t="s">
        <v>33</v>
      </c>
      <c r="H412">
        <v>2025</v>
      </c>
      <c r="I412" t="s">
        <v>1365</v>
      </c>
      <c r="J412" t="s">
        <v>1353</v>
      </c>
    </row>
    <row r="413" spans="1:10" x14ac:dyDescent="0.3">
      <c r="A413" s="21">
        <v>45944</v>
      </c>
      <c r="B413" t="s">
        <v>331</v>
      </c>
      <c r="C413" t="s">
        <v>14</v>
      </c>
      <c r="D413">
        <v>6</v>
      </c>
      <c r="E413">
        <v>955</v>
      </c>
      <c r="F413">
        <v>5730</v>
      </c>
      <c r="G413" t="s">
        <v>11</v>
      </c>
      <c r="H413">
        <v>2025</v>
      </c>
      <c r="I413" t="s">
        <v>1365</v>
      </c>
      <c r="J413" t="s">
        <v>1353</v>
      </c>
    </row>
    <row r="414" spans="1:10" x14ac:dyDescent="0.3">
      <c r="A414" s="21">
        <v>45945</v>
      </c>
      <c r="B414" t="s">
        <v>1063</v>
      </c>
      <c r="C414" t="s">
        <v>65</v>
      </c>
      <c r="D414">
        <v>6</v>
      </c>
      <c r="E414">
        <v>317</v>
      </c>
      <c r="F414">
        <v>1902</v>
      </c>
      <c r="G414" t="s">
        <v>11</v>
      </c>
      <c r="H414">
        <v>2025</v>
      </c>
      <c r="I414" t="s">
        <v>1365</v>
      </c>
      <c r="J414" t="s">
        <v>1358</v>
      </c>
    </row>
    <row r="415" spans="1:10" x14ac:dyDescent="0.3">
      <c r="A415" s="21">
        <v>45946</v>
      </c>
      <c r="B415" t="s">
        <v>884</v>
      </c>
      <c r="C415" t="s">
        <v>10</v>
      </c>
      <c r="D415">
        <v>1</v>
      </c>
      <c r="E415">
        <v>540</v>
      </c>
      <c r="F415">
        <v>540</v>
      </c>
      <c r="G415" t="s">
        <v>11</v>
      </c>
      <c r="H415">
        <v>2025</v>
      </c>
      <c r="I415" t="s">
        <v>1365</v>
      </c>
      <c r="J415" t="s">
        <v>1356</v>
      </c>
    </row>
    <row r="416" spans="1:10" x14ac:dyDescent="0.3">
      <c r="A416" s="21">
        <v>45946</v>
      </c>
      <c r="B416" t="s">
        <v>808</v>
      </c>
      <c r="C416" t="s">
        <v>6</v>
      </c>
      <c r="D416">
        <v>4</v>
      </c>
      <c r="E416">
        <v>435</v>
      </c>
      <c r="F416">
        <v>1740</v>
      </c>
      <c r="G416" t="s">
        <v>19</v>
      </c>
      <c r="H416">
        <v>2025</v>
      </c>
      <c r="I416" t="s">
        <v>1365</v>
      </c>
      <c r="J416" t="s">
        <v>1356</v>
      </c>
    </row>
    <row r="417" spans="1:10" x14ac:dyDescent="0.3">
      <c r="A417" s="21">
        <v>45948</v>
      </c>
      <c r="B417" t="s">
        <v>1247</v>
      </c>
      <c r="C417" t="s">
        <v>65</v>
      </c>
      <c r="D417">
        <v>1</v>
      </c>
      <c r="E417">
        <v>786</v>
      </c>
      <c r="F417">
        <v>786</v>
      </c>
      <c r="G417" t="s">
        <v>15</v>
      </c>
      <c r="H417">
        <v>2025</v>
      </c>
      <c r="I417" t="s">
        <v>1365</v>
      </c>
      <c r="J417" t="s">
        <v>1359</v>
      </c>
    </row>
    <row r="418" spans="1:10" x14ac:dyDescent="0.3">
      <c r="A418" s="21">
        <v>45948</v>
      </c>
      <c r="B418" t="s">
        <v>797</v>
      </c>
      <c r="C418" t="s">
        <v>38</v>
      </c>
      <c r="D418">
        <v>2</v>
      </c>
      <c r="E418">
        <v>772</v>
      </c>
      <c r="F418">
        <v>1544</v>
      </c>
      <c r="G418" t="s">
        <v>19</v>
      </c>
      <c r="H418">
        <v>2025</v>
      </c>
      <c r="I418" t="s">
        <v>1365</v>
      </c>
      <c r="J418" t="s">
        <v>1359</v>
      </c>
    </row>
    <row r="419" spans="1:10" x14ac:dyDescent="0.3">
      <c r="A419" s="21">
        <v>45949</v>
      </c>
      <c r="B419" t="s">
        <v>782</v>
      </c>
      <c r="C419" t="s">
        <v>14</v>
      </c>
      <c r="D419">
        <v>4</v>
      </c>
      <c r="E419">
        <v>470</v>
      </c>
      <c r="F419">
        <v>1880</v>
      </c>
      <c r="G419" t="s">
        <v>19</v>
      </c>
      <c r="H419">
        <v>2025</v>
      </c>
      <c r="I419" t="s">
        <v>1365</v>
      </c>
      <c r="J419" t="s">
        <v>1361</v>
      </c>
    </row>
    <row r="420" spans="1:10" x14ac:dyDescent="0.3">
      <c r="A420" s="21">
        <v>45950</v>
      </c>
      <c r="B420" t="s">
        <v>953</v>
      </c>
      <c r="C420" t="s">
        <v>24</v>
      </c>
      <c r="D420">
        <v>5</v>
      </c>
      <c r="E420">
        <v>790</v>
      </c>
      <c r="F420">
        <v>3950</v>
      </c>
      <c r="G420" t="s">
        <v>15</v>
      </c>
      <c r="H420">
        <v>2025</v>
      </c>
      <c r="I420" t="s">
        <v>1365</v>
      </c>
      <c r="J420" t="s">
        <v>1363</v>
      </c>
    </row>
    <row r="421" spans="1:10" x14ac:dyDescent="0.3">
      <c r="A421" s="21">
        <v>45953</v>
      </c>
      <c r="B421" t="s">
        <v>1095</v>
      </c>
      <c r="C421" t="s">
        <v>24</v>
      </c>
      <c r="D421">
        <v>2</v>
      </c>
      <c r="E421">
        <v>274</v>
      </c>
      <c r="F421">
        <v>548</v>
      </c>
      <c r="G421" t="s">
        <v>27</v>
      </c>
      <c r="H421">
        <v>2025</v>
      </c>
      <c r="I421" t="s">
        <v>1365</v>
      </c>
      <c r="J421" t="s">
        <v>1356</v>
      </c>
    </row>
    <row r="422" spans="1:10" x14ac:dyDescent="0.3">
      <c r="A422" s="21">
        <v>45957</v>
      </c>
      <c r="B422" t="s">
        <v>1062</v>
      </c>
      <c r="C422" t="s">
        <v>65</v>
      </c>
      <c r="D422">
        <v>3</v>
      </c>
      <c r="E422">
        <v>61</v>
      </c>
      <c r="F422">
        <v>183</v>
      </c>
      <c r="G422" t="s">
        <v>11</v>
      </c>
      <c r="H422">
        <v>2025</v>
      </c>
      <c r="I422" t="s">
        <v>1365</v>
      </c>
      <c r="J422" t="s">
        <v>1363</v>
      </c>
    </row>
    <row r="423" spans="1:10" x14ac:dyDescent="0.3">
      <c r="A423" s="21">
        <v>45957</v>
      </c>
      <c r="B423" t="s">
        <v>1148</v>
      </c>
      <c r="C423" t="s">
        <v>68</v>
      </c>
      <c r="D423">
        <v>3</v>
      </c>
      <c r="E423">
        <v>924</v>
      </c>
      <c r="F423">
        <v>2772</v>
      </c>
      <c r="G423" t="s">
        <v>11</v>
      </c>
      <c r="H423">
        <v>2025</v>
      </c>
      <c r="I423" t="s">
        <v>1365</v>
      </c>
      <c r="J423" t="s">
        <v>1363</v>
      </c>
    </row>
    <row r="424" spans="1:10" x14ac:dyDescent="0.3">
      <c r="A424" s="21">
        <v>45961</v>
      </c>
      <c r="B424" t="s">
        <v>525</v>
      </c>
      <c r="C424" t="s">
        <v>24</v>
      </c>
      <c r="D424">
        <v>2</v>
      </c>
      <c r="E424">
        <v>158</v>
      </c>
      <c r="F424">
        <v>316</v>
      </c>
      <c r="G424" t="s">
        <v>11</v>
      </c>
      <c r="H424">
        <v>2025</v>
      </c>
      <c r="I424" t="s">
        <v>1365</v>
      </c>
      <c r="J424" t="s">
        <v>1366</v>
      </c>
    </row>
    <row r="425" spans="1:10" x14ac:dyDescent="0.3">
      <c r="A425" s="21">
        <v>45961</v>
      </c>
      <c r="B425" t="s">
        <v>542</v>
      </c>
      <c r="C425" t="s">
        <v>30</v>
      </c>
      <c r="D425">
        <v>2</v>
      </c>
      <c r="E425">
        <v>934</v>
      </c>
      <c r="F425">
        <v>1868</v>
      </c>
      <c r="G425" t="s">
        <v>33</v>
      </c>
      <c r="H425">
        <v>2025</v>
      </c>
      <c r="I425" t="s">
        <v>1365</v>
      </c>
      <c r="J425" t="s">
        <v>1366</v>
      </c>
    </row>
    <row r="426" spans="1:10" x14ac:dyDescent="0.3">
      <c r="A426" s="21">
        <v>45961</v>
      </c>
      <c r="B426" t="s">
        <v>524</v>
      </c>
      <c r="C426" t="s">
        <v>38</v>
      </c>
      <c r="D426">
        <v>5</v>
      </c>
      <c r="E426">
        <v>625</v>
      </c>
      <c r="F426">
        <v>3125</v>
      </c>
      <c r="G426" t="s">
        <v>19</v>
      </c>
      <c r="H426">
        <v>2025</v>
      </c>
      <c r="I426" t="s">
        <v>1365</v>
      </c>
      <c r="J426" t="s">
        <v>1366</v>
      </c>
    </row>
    <row r="427" spans="1:10" x14ac:dyDescent="0.3">
      <c r="A427" s="21">
        <v>45961</v>
      </c>
      <c r="B427" t="s">
        <v>740</v>
      </c>
      <c r="C427" t="s">
        <v>30</v>
      </c>
      <c r="D427">
        <v>5</v>
      </c>
      <c r="E427">
        <v>844</v>
      </c>
      <c r="F427">
        <v>4220</v>
      </c>
      <c r="G427" t="s">
        <v>19</v>
      </c>
      <c r="H427">
        <v>2025</v>
      </c>
      <c r="I427" t="s">
        <v>1365</v>
      </c>
      <c r="J427" t="s">
        <v>1366</v>
      </c>
    </row>
    <row r="428" spans="1:10" x14ac:dyDescent="0.3">
      <c r="A428" s="21">
        <v>45962</v>
      </c>
      <c r="B428" t="s">
        <v>985</v>
      </c>
      <c r="C428" t="s">
        <v>6</v>
      </c>
      <c r="D428">
        <v>5</v>
      </c>
      <c r="E428">
        <v>159</v>
      </c>
      <c r="F428">
        <v>795</v>
      </c>
      <c r="G428" t="s">
        <v>11</v>
      </c>
      <c r="H428">
        <v>2025</v>
      </c>
      <c r="I428" t="s">
        <v>1357</v>
      </c>
      <c r="J428" t="s">
        <v>1359</v>
      </c>
    </row>
    <row r="429" spans="1:10" x14ac:dyDescent="0.3">
      <c r="A429" s="21">
        <v>45962</v>
      </c>
      <c r="B429" t="s">
        <v>976</v>
      </c>
      <c r="C429" t="s">
        <v>10</v>
      </c>
      <c r="D429">
        <v>4</v>
      </c>
      <c r="E429">
        <v>998</v>
      </c>
      <c r="F429">
        <v>3992</v>
      </c>
      <c r="G429" t="s">
        <v>27</v>
      </c>
      <c r="H429">
        <v>2025</v>
      </c>
      <c r="I429" t="s">
        <v>1357</v>
      </c>
      <c r="J429" t="s">
        <v>1359</v>
      </c>
    </row>
    <row r="430" spans="1:10" x14ac:dyDescent="0.3">
      <c r="A430" s="21">
        <v>45963</v>
      </c>
      <c r="B430" t="s">
        <v>983</v>
      </c>
      <c r="C430" t="s">
        <v>68</v>
      </c>
      <c r="D430">
        <v>6</v>
      </c>
      <c r="E430">
        <v>631</v>
      </c>
      <c r="F430">
        <v>3786</v>
      </c>
      <c r="G430" t="s">
        <v>7</v>
      </c>
      <c r="H430">
        <v>2025</v>
      </c>
      <c r="I430" t="s">
        <v>1357</v>
      </c>
      <c r="J430" t="s">
        <v>1361</v>
      </c>
    </row>
    <row r="431" spans="1:10" x14ac:dyDescent="0.3">
      <c r="A431" s="21">
        <v>45965</v>
      </c>
      <c r="B431" t="s">
        <v>660</v>
      </c>
      <c r="C431" t="s">
        <v>38</v>
      </c>
      <c r="D431">
        <v>3</v>
      </c>
      <c r="E431">
        <v>197</v>
      </c>
      <c r="F431">
        <v>591</v>
      </c>
      <c r="G431" t="s">
        <v>33</v>
      </c>
      <c r="H431">
        <v>2025</v>
      </c>
      <c r="I431" t="s">
        <v>1357</v>
      </c>
      <c r="J431" t="s">
        <v>1353</v>
      </c>
    </row>
    <row r="432" spans="1:10" x14ac:dyDescent="0.3">
      <c r="A432" s="21">
        <v>45965</v>
      </c>
      <c r="B432" t="s">
        <v>791</v>
      </c>
      <c r="C432" t="s">
        <v>65</v>
      </c>
      <c r="D432">
        <v>5</v>
      </c>
      <c r="E432">
        <v>918</v>
      </c>
      <c r="F432">
        <v>4590</v>
      </c>
      <c r="G432" t="s">
        <v>11</v>
      </c>
      <c r="H432">
        <v>2025</v>
      </c>
      <c r="I432" t="s">
        <v>1357</v>
      </c>
      <c r="J432" t="s">
        <v>1353</v>
      </c>
    </row>
    <row r="433" spans="1:10" x14ac:dyDescent="0.3">
      <c r="A433" s="21">
        <v>45966</v>
      </c>
      <c r="B433" t="s">
        <v>1314</v>
      </c>
      <c r="C433" t="s">
        <v>24</v>
      </c>
      <c r="D433">
        <v>3</v>
      </c>
      <c r="E433">
        <v>359</v>
      </c>
      <c r="F433">
        <v>1077</v>
      </c>
      <c r="G433" t="s">
        <v>27</v>
      </c>
      <c r="H433">
        <v>2025</v>
      </c>
      <c r="I433" t="s">
        <v>1357</v>
      </c>
      <c r="J433" t="s">
        <v>1358</v>
      </c>
    </row>
    <row r="434" spans="1:10" x14ac:dyDescent="0.3">
      <c r="A434" s="21">
        <v>45966</v>
      </c>
      <c r="B434" t="s">
        <v>1329</v>
      </c>
      <c r="C434" t="s">
        <v>18</v>
      </c>
      <c r="D434">
        <v>6</v>
      </c>
      <c r="E434">
        <v>802</v>
      </c>
      <c r="F434">
        <v>4812</v>
      </c>
      <c r="G434" t="s">
        <v>11</v>
      </c>
      <c r="H434">
        <v>2025</v>
      </c>
      <c r="I434" t="s">
        <v>1357</v>
      </c>
      <c r="J434" t="s">
        <v>1358</v>
      </c>
    </row>
    <row r="435" spans="1:10" x14ac:dyDescent="0.3">
      <c r="A435" s="21">
        <v>45968</v>
      </c>
      <c r="B435" t="s">
        <v>492</v>
      </c>
      <c r="C435" t="s">
        <v>6</v>
      </c>
      <c r="D435">
        <v>1</v>
      </c>
      <c r="E435">
        <v>755</v>
      </c>
      <c r="F435">
        <v>755</v>
      </c>
      <c r="G435" t="s">
        <v>15</v>
      </c>
      <c r="H435">
        <v>2025</v>
      </c>
      <c r="I435" t="s">
        <v>1357</v>
      </c>
      <c r="J435" t="s">
        <v>1366</v>
      </c>
    </row>
    <row r="436" spans="1:10" x14ac:dyDescent="0.3">
      <c r="A436" s="21">
        <v>45970</v>
      </c>
      <c r="B436" t="s">
        <v>1237</v>
      </c>
      <c r="C436" t="s">
        <v>6</v>
      </c>
      <c r="D436">
        <v>4</v>
      </c>
      <c r="E436">
        <v>795</v>
      </c>
      <c r="F436">
        <v>3180</v>
      </c>
      <c r="G436" t="s">
        <v>11</v>
      </c>
      <c r="H436">
        <v>2025</v>
      </c>
      <c r="I436" t="s">
        <v>1357</v>
      </c>
      <c r="J436" t="s">
        <v>1361</v>
      </c>
    </row>
    <row r="437" spans="1:10" x14ac:dyDescent="0.3">
      <c r="A437" s="21">
        <v>45971</v>
      </c>
      <c r="B437" t="s">
        <v>157</v>
      </c>
      <c r="C437" t="s">
        <v>68</v>
      </c>
      <c r="D437">
        <v>1</v>
      </c>
      <c r="E437">
        <v>85</v>
      </c>
      <c r="F437">
        <v>85</v>
      </c>
      <c r="G437" t="s">
        <v>19</v>
      </c>
      <c r="H437">
        <v>2025</v>
      </c>
      <c r="I437" t="s">
        <v>1357</v>
      </c>
      <c r="J437" t="s">
        <v>1363</v>
      </c>
    </row>
    <row r="438" spans="1:10" x14ac:dyDescent="0.3">
      <c r="A438" s="21">
        <v>45971</v>
      </c>
      <c r="B438" t="s">
        <v>443</v>
      </c>
      <c r="C438" t="s">
        <v>24</v>
      </c>
      <c r="D438">
        <v>2</v>
      </c>
      <c r="E438">
        <v>912</v>
      </c>
      <c r="F438">
        <v>1824</v>
      </c>
      <c r="G438" t="s">
        <v>27</v>
      </c>
      <c r="H438">
        <v>2025</v>
      </c>
      <c r="I438" t="s">
        <v>1357</v>
      </c>
      <c r="J438" t="s">
        <v>1363</v>
      </c>
    </row>
    <row r="439" spans="1:10" x14ac:dyDescent="0.3">
      <c r="A439" s="21">
        <v>45971</v>
      </c>
      <c r="B439" t="s">
        <v>1032</v>
      </c>
      <c r="C439" t="s">
        <v>68</v>
      </c>
      <c r="D439">
        <v>4</v>
      </c>
      <c r="E439">
        <v>968</v>
      </c>
      <c r="F439">
        <v>3872</v>
      </c>
      <c r="G439" t="s">
        <v>27</v>
      </c>
      <c r="H439">
        <v>2025</v>
      </c>
      <c r="I439" t="s">
        <v>1357</v>
      </c>
      <c r="J439" t="s">
        <v>1363</v>
      </c>
    </row>
    <row r="440" spans="1:10" x14ac:dyDescent="0.3">
      <c r="A440" s="21">
        <v>45973</v>
      </c>
      <c r="B440" t="s">
        <v>1165</v>
      </c>
      <c r="C440" t="s">
        <v>68</v>
      </c>
      <c r="D440">
        <v>6</v>
      </c>
      <c r="E440">
        <v>185</v>
      </c>
      <c r="F440">
        <v>1110</v>
      </c>
      <c r="G440" t="s">
        <v>19</v>
      </c>
      <c r="H440">
        <v>2025</v>
      </c>
      <c r="I440" t="s">
        <v>1357</v>
      </c>
      <c r="J440" t="s">
        <v>1358</v>
      </c>
    </row>
    <row r="441" spans="1:10" x14ac:dyDescent="0.3">
      <c r="A441" s="21">
        <v>45974</v>
      </c>
      <c r="B441" t="s">
        <v>348</v>
      </c>
      <c r="C441" t="s">
        <v>65</v>
      </c>
      <c r="D441">
        <v>5</v>
      </c>
      <c r="E441">
        <v>837</v>
      </c>
      <c r="F441">
        <v>4185</v>
      </c>
      <c r="G441" t="s">
        <v>15</v>
      </c>
      <c r="H441">
        <v>2025</v>
      </c>
      <c r="I441" t="s">
        <v>1357</v>
      </c>
      <c r="J441" t="s">
        <v>1356</v>
      </c>
    </row>
    <row r="442" spans="1:10" x14ac:dyDescent="0.3">
      <c r="A442" s="21">
        <v>45975</v>
      </c>
      <c r="B442" t="s">
        <v>1270</v>
      </c>
      <c r="C442" t="s">
        <v>30</v>
      </c>
      <c r="D442">
        <v>1</v>
      </c>
      <c r="E442">
        <v>679</v>
      </c>
      <c r="F442">
        <v>679</v>
      </c>
      <c r="G442" t="s">
        <v>19</v>
      </c>
      <c r="H442">
        <v>2025</v>
      </c>
      <c r="I442" t="s">
        <v>1357</v>
      </c>
      <c r="J442" t="s">
        <v>1366</v>
      </c>
    </row>
    <row r="443" spans="1:10" x14ac:dyDescent="0.3">
      <c r="A443" s="21">
        <v>45975</v>
      </c>
      <c r="B443" t="s">
        <v>666</v>
      </c>
      <c r="C443" t="s">
        <v>18</v>
      </c>
      <c r="D443">
        <v>6</v>
      </c>
      <c r="E443">
        <v>461</v>
      </c>
      <c r="F443">
        <v>2766</v>
      </c>
      <c r="G443" t="s">
        <v>33</v>
      </c>
      <c r="H443">
        <v>2025</v>
      </c>
      <c r="I443" t="s">
        <v>1357</v>
      </c>
      <c r="J443" t="s">
        <v>1366</v>
      </c>
    </row>
    <row r="444" spans="1:10" x14ac:dyDescent="0.3">
      <c r="A444" s="21">
        <v>45976</v>
      </c>
      <c r="B444" t="s">
        <v>1059</v>
      </c>
      <c r="C444" t="s">
        <v>30</v>
      </c>
      <c r="D444">
        <v>6</v>
      </c>
      <c r="E444">
        <v>646</v>
      </c>
      <c r="F444">
        <v>3876</v>
      </c>
      <c r="G444" t="s">
        <v>33</v>
      </c>
      <c r="H444">
        <v>2025</v>
      </c>
      <c r="I444" t="s">
        <v>1357</v>
      </c>
      <c r="J444" t="s">
        <v>1359</v>
      </c>
    </row>
    <row r="445" spans="1:10" x14ac:dyDescent="0.3">
      <c r="A445" s="21">
        <v>45978</v>
      </c>
      <c r="B445" t="s">
        <v>1133</v>
      </c>
      <c r="C445" t="s">
        <v>24</v>
      </c>
      <c r="D445">
        <v>6</v>
      </c>
      <c r="E445">
        <v>627</v>
      </c>
      <c r="F445">
        <v>3762</v>
      </c>
      <c r="G445" t="s">
        <v>11</v>
      </c>
      <c r="H445">
        <v>2025</v>
      </c>
      <c r="I445" t="s">
        <v>1357</v>
      </c>
      <c r="J445" t="s">
        <v>1363</v>
      </c>
    </row>
    <row r="446" spans="1:10" x14ac:dyDescent="0.3">
      <c r="A446" s="21">
        <v>45979</v>
      </c>
      <c r="B446" t="s">
        <v>607</v>
      </c>
      <c r="C446" t="s">
        <v>38</v>
      </c>
      <c r="D446">
        <v>6</v>
      </c>
      <c r="E446">
        <v>491</v>
      </c>
      <c r="F446">
        <v>2946</v>
      </c>
      <c r="G446" t="s">
        <v>11</v>
      </c>
      <c r="H446">
        <v>2025</v>
      </c>
      <c r="I446" t="s">
        <v>1357</v>
      </c>
      <c r="J446" t="s">
        <v>1353</v>
      </c>
    </row>
    <row r="447" spans="1:10" x14ac:dyDescent="0.3">
      <c r="A447" s="21">
        <v>45981</v>
      </c>
      <c r="B447" t="s">
        <v>663</v>
      </c>
      <c r="C447" t="s">
        <v>65</v>
      </c>
      <c r="D447">
        <v>4</v>
      </c>
      <c r="E447">
        <v>666</v>
      </c>
      <c r="F447">
        <v>2664</v>
      </c>
      <c r="G447" t="s">
        <v>11</v>
      </c>
      <c r="H447">
        <v>2025</v>
      </c>
      <c r="I447" t="s">
        <v>1357</v>
      </c>
      <c r="J447" t="s">
        <v>1356</v>
      </c>
    </row>
    <row r="448" spans="1:10" x14ac:dyDescent="0.3">
      <c r="A448" s="21">
        <v>45982</v>
      </c>
      <c r="B448" t="s">
        <v>307</v>
      </c>
      <c r="C448" t="s">
        <v>18</v>
      </c>
      <c r="D448">
        <v>6</v>
      </c>
      <c r="E448">
        <v>192</v>
      </c>
      <c r="F448">
        <v>1152</v>
      </c>
      <c r="G448" t="s">
        <v>11</v>
      </c>
      <c r="H448">
        <v>2025</v>
      </c>
      <c r="I448" t="s">
        <v>1357</v>
      </c>
      <c r="J448" t="s">
        <v>1366</v>
      </c>
    </row>
    <row r="449" spans="1:10" x14ac:dyDescent="0.3">
      <c r="A449" s="21">
        <v>45984</v>
      </c>
      <c r="B449" t="s">
        <v>501</v>
      </c>
      <c r="C449" t="s">
        <v>68</v>
      </c>
      <c r="D449">
        <v>1</v>
      </c>
      <c r="E449">
        <v>525</v>
      </c>
      <c r="F449">
        <v>525</v>
      </c>
      <c r="G449" t="s">
        <v>7</v>
      </c>
      <c r="H449">
        <v>2025</v>
      </c>
      <c r="I449" t="s">
        <v>1357</v>
      </c>
      <c r="J449" t="s">
        <v>1361</v>
      </c>
    </row>
    <row r="450" spans="1:10" x14ac:dyDescent="0.3">
      <c r="A450" s="21">
        <v>45984</v>
      </c>
      <c r="B450" t="s">
        <v>738</v>
      </c>
      <c r="C450" t="s">
        <v>38</v>
      </c>
      <c r="D450">
        <v>5</v>
      </c>
      <c r="E450">
        <v>721</v>
      </c>
      <c r="F450">
        <v>3605</v>
      </c>
      <c r="G450" t="s">
        <v>27</v>
      </c>
      <c r="H450">
        <v>2025</v>
      </c>
      <c r="I450" t="s">
        <v>1357</v>
      </c>
      <c r="J450" t="s">
        <v>1361</v>
      </c>
    </row>
    <row r="451" spans="1:10" x14ac:dyDescent="0.3">
      <c r="A451" s="21">
        <v>45984</v>
      </c>
      <c r="B451" t="s">
        <v>339</v>
      </c>
      <c r="C451" t="s">
        <v>30</v>
      </c>
      <c r="D451">
        <v>6</v>
      </c>
      <c r="E451">
        <v>784</v>
      </c>
      <c r="F451">
        <v>4704</v>
      </c>
      <c r="G451" t="s">
        <v>7</v>
      </c>
      <c r="H451">
        <v>2025</v>
      </c>
      <c r="I451" t="s">
        <v>1357</v>
      </c>
      <c r="J451" t="s">
        <v>1361</v>
      </c>
    </row>
    <row r="452" spans="1:10" x14ac:dyDescent="0.3">
      <c r="A452" s="21">
        <v>45985</v>
      </c>
      <c r="B452" t="s">
        <v>1238</v>
      </c>
      <c r="C452" t="s">
        <v>6</v>
      </c>
      <c r="D452">
        <v>6</v>
      </c>
      <c r="E452">
        <v>278</v>
      </c>
      <c r="F452">
        <v>1668</v>
      </c>
      <c r="G452" t="s">
        <v>7</v>
      </c>
      <c r="H452">
        <v>2025</v>
      </c>
      <c r="I452" t="s">
        <v>1357</v>
      </c>
      <c r="J452" t="s">
        <v>1363</v>
      </c>
    </row>
    <row r="453" spans="1:10" x14ac:dyDescent="0.3">
      <c r="A453" s="21">
        <v>45985</v>
      </c>
      <c r="B453" t="s">
        <v>813</v>
      </c>
      <c r="C453" t="s">
        <v>30</v>
      </c>
      <c r="D453">
        <v>4</v>
      </c>
      <c r="E453">
        <v>984</v>
      </c>
      <c r="F453">
        <v>3936</v>
      </c>
      <c r="G453" t="s">
        <v>7</v>
      </c>
      <c r="H453">
        <v>2025</v>
      </c>
      <c r="I453" t="s">
        <v>1357</v>
      </c>
      <c r="J453" t="s">
        <v>1363</v>
      </c>
    </row>
    <row r="454" spans="1:10" x14ac:dyDescent="0.3">
      <c r="A454" s="21">
        <v>45986</v>
      </c>
      <c r="B454" t="s">
        <v>159</v>
      </c>
      <c r="C454" t="s">
        <v>24</v>
      </c>
      <c r="D454">
        <v>2</v>
      </c>
      <c r="E454">
        <v>179</v>
      </c>
      <c r="F454">
        <v>358</v>
      </c>
      <c r="G454" t="s">
        <v>19</v>
      </c>
      <c r="H454">
        <v>2025</v>
      </c>
      <c r="I454" t="s">
        <v>1357</v>
      </c>
      <c r="J454" t="s">
        <v>1353</v>
      </c>
    </row>
    <row r="455" spans="1:10" x14ac:dyDescent="0.3">
      <c r="A455" s="21">
        <v>45986</v>
      </c>
      <c r="B455" t="s">
        <v>929</v>
      </c>
      <c r="C455" t="s">
        <v>65</v>
      </c>
      <c r="D455">
        <v>1</v>
      </c>
      <c r="E455">
        <v>951</v>
      </c>
      <c r="F455">
        <v>951</v>
      </c>
      <c r="G455" t="s">
        <v>33</v>
      </c>
      <c r="H455">
        <v>2025</v>
      </c>
      <c r="I455" t="s">
        <v>1357</v>
      </c>
      <c r="J455" t="s">
        <v>1353</v>
      </c>
    </row>
    <row r="456" spans="1:10" x14ac:dyDescent="0.3">
      <c r="A456" s="21">
        <v>45987</v>
      </c>
      <c r="B456" t="s">
        <v>904</v>
      </c>
      <c r="C456" t="s">
        <v>24</v>
      </c>
      <c r="D456">
        <v>1</v>
      </c>
      <c r="E456">
        <v>735</v>
      </c>
      <c r="F456">
        <v>735</v>
      </c>
      <c r="G456" t="s">
        <v>11</v>
      </c>
      <c r="H456">
        <v>2025</v>
      </c>
      <c r="I456" t="s">
        <v>1357</v>
      </c>
      <c r="J456" t="s">
        <v>1358</v>
      </c>
    </row>
    <row r="457" spans="1:10" x14ac:dyDescent="0.3">
      <c r="A457" s="21">
        <v>45988</v>
      </c>
      <c r="B457" t="s">
        <v>529</v>
      </c>
      <c r="C457" t="s">
        <v>79</v>
      </c>
      <c r="D457">
        <v>2</v>
      </c>
      <c r="E457">
        <v>527</v>
      </c>
      <c r="F457">
        <v>1054</v>
      </c>
      <c r="G457" t="s">
        <v>15</v>
      </c>
      <c r="H457">
        <v>2025</v>
      </c>
      <c r="I457" t="s">
        <v>1357</v>
      </c>
      <c r="J457" t="s">
        <v>1356</v>
      </c>
    </row>
    <row r="458" spans="1:10" x14ac:dyDescent="0.3">
      <c r="A458" s="21">
        <v>45988</v>
      </c>
      <c r="B458" t="s">
        <v>970</v>
      </c>
      <c r="C458" t="s">
        <v>24</v>
      </c>
      <c r="D458">
        <v>3</v>
      </c>
      <c r="E458">
        <v>856</v>
      </c>
      <c r="F458">
        <v>2568</v>
      </c>
      <c r="G458" t="s">
        <v>15</v>
      </c>
      <c r="H458">
        <v>2025</v>
      </c>
      <c r="I458" t="s">
        <v>1357</v>
      </c>
      <c r="J458" t="s">
        <v>1356</v>
      </c>
    </row>
    <row r="459" spans="1:10" x14ac:dyDescent="0.3">
      <c r="A459" s="21">
        <v>45989</v>
      </c>
      <c r="B459" t="s">
        <v>1295</v>
      </c>
      <c r="C459" t="s">
        <v>30</v>
      </c>
      <c r="D459">
        <v>5</v>
      </c>
      <c r="E459">
        <v>272</v>
      </c>
      <c r="F459">
        <v>1360</v>
      </c>
      <c r="G459" t="s">
        <v>27</v>
      </c>
      <c r="H459">
        <v>2025</v>
      </c>
      <c r="I459" t="s">
        <v>1357</v>
      </c>
      <c r="J459" t="s">
        <v>1366</v>
      </c>
    </row>
    <row r="460" spans="1:10" x14ac:dyDescent="0.3">
      <c r="A460" s="21">
        <v>45990</v>
      </c>
      <c r="B460" t="s">
        <v>526</v>
      </c>
      <c r="C460" t="s">
        <v>14</v>
      </c>
      <c r="D460">
        <v>1</v>
      </c>
      <c r="E460">
        <v>376</v>
      </c>
      <c r="F460">
        <v>376</v>
      </c>
      <c r="G460" t="s">
        <v>11</v>
      </c>
      <c r="H460">
        <v>2025</v>
      </c>
      <c r="I460" t="s">
        <v>1357</v>
      </c>
      <c r="J460" t="s">
        <v>1359</v>
      </c>
    </row>
    <row r="461" spans="1:10" x14ac:dyDescent="0.3">
      <c r="A461" s="21">
        <v>45990</v>
      </c>
      <c r="B461" t="s">
        <v>727</v>
      </c>
      <c r="C461" t="s">
        <v>68</v>
      </c>
      <c r="D461">
        <v>3</v>
      </c>
      <c r="E461">
        <v>792</v>
      </c>
      <c r="F461">
        <v>2376</v>
      </c>
      <c r="G461" t="s">
        <v>7</v>
      </c>
      <c r="H461">
        <v>2025</v>
      </c>
      <c r="I461" t="s">
        <v>1357</v>
      </c>
      <c r="J461" t="s">
        <v>1359</v>
      </c>
    </row>
    <row r="462" spans="1:10" x14ac:dyDescent="0.3">
      <c r="A462" s="21">
        <v>45991</v>
      </c>
      <c r="B462" t="s">
        <v>581</v>
      </c>
      <c r="C462" t="s">
        <v>68</v>
      </c>
      <c r="D462">
        <v>3</v>
      </c>
      <c r="E462">
        <v>518</v>
      </c>
      <c r="F462">
        <v>1554</v>
      </c>
      <c r="G462" t="s">
        <v>11</v>
      </c>
      <c r="H462">
        <v>2025</v>
      </c>
      <c r="I462" t="s">
        <v>1357</v>
      </c>
      <c r="J462" t="s">
        <v>1361</v>
      </c>
    </row>
    <row r="463" spans="1:10" x14ac:dyDescent="0.3">
      <c r="A463" s="21">
        <v>45992</v>
      </c>
      <c r="B463" t="s">
        <v>870</v>
      </c>
      <c r="C463" t="s">
        <v>65</v>
      </c>
      <c r="D463">
        <v>1</v>
      </c>
      <c r="E463">
        <v>199</v>
      </c>
      <c r="F463">
        <v>199</v>
      </c>
      <c r="G463" t="s">
        <v>7</v>
      </c>
      <c r="H463">
        <v>2025</v>
      </c>
      <c r="I463" t="s">
        <v>1370</v>
      </c>
      <c r="J463" t="s">
        <v>1363</v>
      </c>
    </row>
    <row r="464" spans="1:10" x14ac:dyDescent="0.3">
      <c r="A464" s="21">
        <v>45992</v>
      </c>
      <c r="B464" t="s">
        <v>132</v>
      </c>
      <c r="C464" t="s">
        <v>14</v>
      </c>
      <c r="D464">
        <v>4</v>
      </c>
      <c r="E464">
        <v>465</v>
      </c>
      <c r="F464">
        <v>1860</v>
      </c>
      <c r="G464" t="s">
        <v>15</v>
      </c>
      <c r="H464">
        <v>2025</v>
      </c>
      <c r="I464" t="s">
        <v>1370</v>
      </c>
      <c r="J464" t="s">
        <v>1363</v>
      </c>
    </row>
    <row r="465" spans="1:10" x14ac:dyDescent="0.3">
      <c r="A465" s="21">
        <v>45992</v>
      </c>
      <c r="B465" t="s">
        <v>863</v>
      </c>
      <c r="C465" t="s">
        <v>24</v>
      </c>
      <c r="D465">
        <v>6</v>
      </c>
      <c r="E465">
        <v>438</v>
      </c>
      <c r="F465">
        <v>2628</v>
      </c>
      <c r="G465" t="s">
        <v>33</v>
      </c>
      <c r="H465">
        <v>2025</v>
      </c>
      <c r="I465" t="s">
        <v>1370</v>
      </c>
      <c r="J465" t="s">
        <v>1363</v>
      </c>
    </row>
    <row r="466" spans="1:10" x14ac:dyDescent="0.3">
      <c r="A466" s="21">
        <v>45993</v>
      </c>
      <c r="B466" t="s">
        <v>828</v>
      </c>
      <c r="C466" t="s">
        <v>68</v>
      </c>
      <c r="D466">
        <v>4</v>
      </c>
      <c r="E466">
        <v>759</v>
      </c>
      <c r="F466">
        <v>3036</v>
      </c>
      <c r="G466" t="s">
        <v>27</v>
      </c>
      <c r="H466">
        <v>2025</v>
      </c>
      <c r="I466" t="s">
        <v>1370</v>
      </c>
      <c r="J466" t="s">
        <v>1353</v>
      </c>
    </row>
    <row r="467" spans="1:10" x14ac:dyDescent="0.3">
      <c r="A467" s="21">
        <v>45995</v>
      </c>
      <c r="B467" t="s">
        <v>676</v>
      </c>
      <c r="C467" t="s">
        <v>18</v>
      </c>
      <c r="D467">
        <v>3</v>
      </c>
      <c r="E467">
        <v>391</v>
      </c>
      <c r="F467">
        <v>1173</v>
      </c>
      <c r="G467" t="s">
        <v>11</v>
      </c>
      <c r="H467">
        <v>2025</v>
      </c>
      <c r="I467" t="s">
        <v>1370</v>
      </c>
      <c r="J467" t="s">
        <v>1356</v>
      </c>
    </row>
    <row r="468" spans="1:10" x14ac:dyDescent="0.3">
      <c r="A468" s="21">
        <v>45995</v>
      </c>
      <c r="B468" t="s">
        <v>1160</v>
      </c>
      <c r="C468" t="s">
        <v>30</v>
      </c>
      <c r="D468">
        <v>5</v>
      </c>
      <c r="E468">
        <v>506</v>
      </c>
      <c r="F468">
        <v>2530</v>
      </c>
      <c r="G468" t="s">
        <v>15</v>
      </c>
      <c r="H468">
        <v>2025</v>
      </c>
      <c r="I468" t="s">
        <v>1370</v>
      </c>
      <c r="J468" t="s">
        <v>1356</v>
      </c>
    </row>
    <row r="469" spans="1:10" x14ac:dyDescent="0.3">
      <c r="A469" s="21">
        <v>45997</v>
      </c>
      <c r="B469" t="s">
        <v>303</v>
      </c>
      <c r="C469" t="s">
        <v>79</v>
      </c>
      <c r="D469">
        <v>1</v>
      </c>
      <c r="E469">
        <v>255</v>
      </c>
      <c r="F469">
        <v>255</v>
      </c>
      <c r="G469" t="s">
        <v>33</v>
      </c>
      <c r="H469">
        <v>2025</v>
      </c>
      <c r="I469" t="s">
        <v>1370</v>
      </c>
      <c r="J469" t="s">
        <v>1359</v>
      </c>
    </row>
    <row r="470" spans="1:10" x14ac:dyDescent="0.3">
      <c r="A470" s="21">
        <v>45997</v>
      </c>
      <c r="B470" t="s">
        <v>1000</v>
      </c>
      <c r="C470" t="s">
        <v>30</v>
      </c>
      <c r="D470">
        <v>2</v>
      </c>
      <c r="E470">
        <v>566</v>
      </c>
      <c r="F470">
        <v>1132</v>
      </c>
      <c r="G470" t="s">
        <v>19</v>
      </c>
      <c r="H470">
        <v>2025</v>
      </c>
      <c r="I470" t="s">
        <v>1370</v>
      </c>
      <c r="J470" t="s">
        <v>1359</v>
      </c>
    </row>
    <row r="471" spans="1:10" x14ac:dyDescent="0.3">
      <c r="A471" s="21">
        <v>45998</v>
      </c>
      <c r="B471" t="s">
        <v>113</v>
      </c>
      <c r="C471" t="s">
        <v>6</v>
      </c>
      <c r="D471">
        <v>2</v>
      </c>
      <c r="E471">
        <v>411</v>
      </c>
      <c r="F471">
        <v>822</v>
      </c>
      <c r="G471" t="s">
        <v>11</v>
      </c>
      <c r="H471">
        <v>2025</v>
      </c>
      <c r="I471" t="s">
        <v>1370</v>
      </c>
      <c r="J471" t="s">
        <v>1361</v>
      </c>
    </row>
    <row r="472" spans="1:10" x14ac:dyDescent="0.3">
      <c r="A472" s="21">
        <v>45999</v>
      </c>
      <c r="B472" t="s">
        <v>149</v>
      </c>
      <c r="C472" t="s">
        <v>79</v>
      </c>
      <c r="D472">
        <v>6</v>
      </c>
      <c r="E472">
        <v>919</v>
      </c>
      <c r="F472">
        <v>5514</v>
      </c>
      <c r="G472" t="s">
        <v>27</v>
      </c>
      <c r="H472">
        <v>2025</v>
      </c>
      <c r="I472" t="s">
        <v>1370</v>
      </c>
      <c r="J472" t="s">
        <v>1363</v>
      </c>
    </row>
    <row r="473" spans="1:10" x14ac:dyDescent="0.3">
      <c r="A473" s="21">
        <v>46001</v>
      </c>
      <c r="B473" t="s">
        <v>1014</v>
      </c>
      <c r="C473" t="s">
        <v>24</v>
      </c>
      <c r="D473">
        <v>1</v>
      </c>
      <c r="E473">
        <v>313</v>
      </c>
      <c r="F473">
        <v>313</v>
      </c>
      <c r="G473" t="s">
        <v>27</v>
      </c>
      <c r="H473">
        <v>2025</v>
      </c>
      <c r="I473" t="s">
        <v>1370</v>
      </c>
      <c r="J473" t="s">
        <v>1358</v>
      </c>
    </row>
    <row r="474" spans="1:10" x14ac:dyDescent="0.3">
      <c r="A474" s="21">
        <v>46001</v>
      </c>
      <c r="B474" t="s">
        <v>1012</v>
      </c>
      <c r="C474" t="s">
        <v>38</v>
      </c>
      <c r="D474">
        <v>3</v>
      </c>
      <c r="E474">
        <v>519</v>
      </c>
      <c r="F474">
        <v>1557</v>
      </c>
      <c r="G474" t="s">
        <v>19</v>
      </c>
      <c r="H474">
        <v>2025</v>
      </c>
      <c r="I474" t="s">
        <v>1370</v>
      </c>
      <c r="J474" t="s">
        <v>1358</v>
      </c>
    </row>
    <row r="475" spans="1:10" x14ac:dyDescent="0.3">
      <c r="A475" s="21">
        <v>46001</v>
      </c>
      <c r="B475" t="s">
        <v>82</v>
      </c>
      <c r="C475" t="s">
        <v>24</v>
      </c>
      <c r="D475">
        <v>6</v>
      </c>
      <c r="E475">
        <v>726</v>
      </c>
      <c r="F475">
        <v>4356</v>
      </c>
      <c r="G475" t="s">
        <v>15</v>
      </c>
      <c r="H475">
        <v>2025</v>
      </c>
      <c r="I475" t="s">
        <v>1370</v>
      </c>
      <c r="J475" t="s">
        <v>1358</v>
      </c>
    </row>
    <row r="476" spans="1:10" x14ac:dyDescent="0.3">
      <c r="A476" s="21">
        <v>46002</v>
      </c>
      <c r="B476" t="s">
        <v>1104</v>
      </c>
      <c r="C476" t="s">
        <v>68</v>
      </c>
      <c r="D476">
        <v>2</v>
      </c>
      <c r="E476">
        <v>670</v>
      </c>
      <c r="F476">
        <v>1340</v>
      </c>
      <c r="G476" t="s">
        <v>27</v>
      </c>
      <c r="H476">
        <v>2025</v>
      </c>
      <c r="I476" t="s">
        <v>1370</v>
      </c>
      <c r="J476" t="s">
        <v>1356</v>
      </c>
    </row>
    <row r="477" spans="1:10" x14ac:dyDescent="0.3">
      <c r="A477" s="21">
        <v>46003</v>
      </c>
      <c r="B477" t="s">
        <v>506</v>
      </c>
      <c r="C477" t="s">
        <v>68</v>
      </c>
      <c r="D477">
        <v>2</v>
      </c>
      <c r="E477">
        <v>671</v>
      </c>
      <c r="F477">
        <v>1342</v>
      </c>
      <c r="G477" t="s">
        <v>15</v>
      </c>
      <c r="H477">
        <v>2025</v>
      </c>
      <c r="I477" t="s">
        <v>1370</v>
      </c>
      <c r="J477" t="s">
        <v>1366</v>
      </c>
    </row>
    <row r="478" spans="1:10" x14ac:dyDescent="0.3">
      <c r="A478" s="21">
        <v>46003</v>
      </c>
      <c r="B478" t="s">
        <v>748</v>
      </c>
      <c r="C478" t="s">
        <v>68</v>
      </c>
      <c r="D478">
        <v>6</v>
      </c>
      <c r="E478">
        <v>647</v>
      </c>
      <c r="F478">
        <v>3882</v>
      </c>
      <c r="G478" t="s">
        <v>15</v>
      </c>
      <c r="H478">
        <v>2025</v>
      </c>
      <c r="I478" t="s">
        <v>1370</v>
      </c>
      <c r="J478" t="s">
        <v>1366</v>
      </c>
    </row>
    <row r="479" spans="1:10" x14ac:dyDescent="0.3">
      <c r="A479" s="21">
        <v>46004</v>
      </c>
      <c r="B479" t="s">
        <v>577</v>
      </c>
      <c r="C479" t="s">
        <v>24</v>
      </c>
      <c r="D479">
        <v>1</v>
      </c>
      <c r="E479">
        <v>142</v>
      </c>
      <c r="F479">
        <v>142</v>
      </c>
      <c r="G479" t="s">
        <v>15</v>
      </c>
      <c r="H479">
        <v>2025</v>
      </c>
      <c r="I479" t="s">
        <v>1370</v>
      </c>
      <c r="J479" t="s">
        <v>1359</v>
      </c>
    </row>
    <row r="480" spans="1:10" x14ac:dyDescent="0.3">
      <c r="A480" s="21">
        <v>46004</v>
      </c>
      <c r="B480" t="s">
        <v>1312</v>
      </c>
      <c r="C480" t="s">
        <v>6</v>
      </c>
      <c r="D480">
        <v>4</v>
      </c>
      <c r="E480">
        <v>378</v>
      </c>
      <c r="F480">
        <v>1512</v>
      </c>
      <c r="G480" t="s">
        <v>27</v>
      </c>
      <c r="H480">
        <v>2025</v>
      </c>
      <c r="I480" t="s">
        <v>1370</v>
      </c>
      <c r="J480" t="s">
        <v>1359</v>
      </c>
    </row>
    <row r="481" spans="1:10" x14ac:dyDescent="0.3">
      <c r="A481" s="21">
        <v>46005</v>
      </c>
      <c r="B481" t="s">
        <v>737</v>
      </c>
      <c r="C481" t="s">
        <v>79</v>
      </c>
      <c r="D481">
        <v>4</v>
      </c>
      <c r="E481">
        <v>321</v>
      </c>
      <c r="F481">
        <v>1284</v>
      </c>
      <c r="G481" t="s">
        <v>7</v>
      </c>
      <c r="H481">
        <v>2025</v>
      </c>
      <c r="I481" t="s">
        <v>1370</v>
      </c>
      <c r="J481" t="s">
        <v>1361</v>
      </c>
    </row>
    <row r="482" spans="1:10" x14ac:dyDescent="0.3">
      <c r="A482" s="21">
        <v>46006</v>
      </c>
      <c r="B482" t="s">
        <v>1230</v>
      </c>
      <c r="C482" t="s">
        <v>6</v>
      </c>
      <c r="D482">
        <v>1</v>
      </c>
      <c r="E482">
        <v>406</v>
      </c>
      <c r="F482">
        <v>406</v>
      </c>
      <c r="G482" t="s">
        <v>11</v>
      </c>
      <c r="H482">
        <v>2025</v>
      </c>
      <c r="I482" t="s">
        <v>1370</v>
      </c>
      <c r="J482" t="s">
        <v>1363</v>
      </c>
    </row>
    <row r="483" spans="1:10" x14ac:dyDescent="0.3">
      <c r="A483" s="21">
        <v>46007</v>
      </c>
      <c r="B483" t="s">
        <v>52</v>
      </c>
      <c r="C483" t="s">
        <v>10</v>
      </c>
      <c r="D483">
        <v>2</v>
      </c>
      <c r="E483">
        <v>134</v>
      </c>
      <c r="F483">
        <v>268</v>
      </c>
      <c r="G483" t="s">
        <v>11</v>
      </c>
      <c r="H483">
        <v>2025</v>
      </c>
      <c r="I483" t="s">
        <v>1370</v>
      </c>
      <c r="J483" t="s">
        <v>1353</v>
      </c>
    </row>
    <row r="484" spans="1:10" x14ac:dyDescent="0.3">
      <c r="A484" s="21">
        <v>46009</v>
      </c>
      <c r="B484" t="s">
        <v>972</v>
      </c>
      <c r="C484" t="s">
        <v>6</v>
      </c>
      <c r="D484">
        <v>1</v>
      </c>
      <c r="E484">
        <v>240</v>
      </c>
      <c r="F484">
        <v>240</v>
      </c>
      <c r="G484" t="s">
        <v>7</v>
      </c>
      <c r="H484">
        <v>2025</v>
      </c>
      <c r="I484" t="s">
        <v>1370</v>
      </c>
      <c r="J484" t="s">
        <v>1356</v>
      </c>
    </row>
    <row r="485" spans="1:10" x14ac:dyDescent="0.3">
      <c r="A485" s="21">
        <v>46009</v>
      </c>
      <c r="B485" t="s">
        <v>424</v>
      </c>
      <c r="C485" t="s">
        <v>24</v>
      </c>
      <c r="D485">
        <v>5</v>
      </c>
      <c r="E485">
        <v>564</v>
      </c>
      <c r="F485">
        <v>2820</v>
      </c>
      <c r="G485" t="s">
        <v>19</v>
      </c>
      <c r="H485">
        <v>2025</v>
      </c>
      <c r="I485" t="s">
        <v>1370</v>
      </c>
      <c r="J485" t="s">
        <v>1356</v>
      </c>
    </row>
    <row r="486" spans="1:10" x14ac:dyDescent="0.3">
      <c r="A486" s="21">
        <v>46009</v>
      </c>
      <c r="B486" t="s">
        <v>968</v>
      </c>
      <c r="C486" t="s">
        <v>68</v>
      </c>
      <c r="D486">
        <v>5</v>
      </c>
      <c r="E486">
        <v>906</v>
      </c>
      <c r="F486">
        <v>4530</v>
      </c>
      <c r="G486" t="s">
        <v>27</v>
      </c>
      <c r="H486">
        <v>2025</v>
      </c>
      <c r="I486" t="s">
        <v>1370</v>
      </c>
      <c r="J486" t="s">
        <v>1356</v>
      </c>
    </row>
    <row r="487" spans="1:10" x14ac:dyDescent="0.3">
      <c r="A487" s="21">
        <v>46010</v>
      </c>
      <c r="B487" t="s">
        <v>237</v>
      </c>
      <c r="C487" t="s">
        <v>38</v>
      </c>
      <c r="D487">
        <v>3</v>
      </c>
      <c r="E487">
        <v>342</v>
      </c>
      <c r="F487">
        <v>1026</v>
      </c>
      <c r="G487" t="s">
        <v>11</v>
      </c>
      <c r="H487">
        <v>2025</v>
      </c>
      <c r="I487" t="s">
        <v>1370</v>
      </c>
      <c r="J487" t="s">
        <v>1366</v>
      </c>
    </row>
    <row r="488" spans="1:10" x14ac:dyDescent="0.3">
      <c r="A488" s="21">
        <v>46010</v>
      </c>
      <c r="B488" t="s">
        <v>469</v>
      </c>
      <c r="C488" t="s">
        <v>18</v>
      </c>
      <c r="D488">
        <v>5</v>
      </c>
      <c r="E488">
        <v>682</v>
      </c>
      <c r="F488">
        <v>3410</v>
      </c>
      <c r="G488" t="s">
        <v>33</v>
      </c>
      <c r="H488">
        <v>2025</v>
      </c>
      <c r="I488" t="s">
        <v>1370</v>
      </c>
      <c r="J488" t="s">
        <v>1366</v>
      </c>
    </row>
    <row r="489" spans="1:10" x14ac:dyDescent="0.3">
      <c r="A489" s="21">
        <v>46011</v>
      </c>
      <c r="B489" t="s">
        <v>606</v>
      </c>
      <c r="C489" t="s">
        <v>30</v>
      </c>
      <c r="D489">
        <v>1</v>
      </c>
      <c r="E489">
        <v>460</v>
      </c>
      <c r="F489">
        <v>460</v>
      </c>
      <c r="G489" t="s">
        <v>19</v>
      </c>
      <c r="H489">
        <v>2025</v>
      </c>
      <c r="I489" t="s">
        <v>1370</v>
      </c>
      <c r="J489" t="s">
        <v>1359</v>
      </c>
    </row>
    <row r="490" spans="1:10" x14ac:dyDescent="0.3">
      <c r="A490" s="21">
        <v>46011</v>
      </c>
      <c r="B490" t="s">
        <v>758</v>
      </c>
      <c r="C490" t="s">
        <v>18</v>
      </c>
      <c r="D490">
        <v>3</v>
      </c>
      <c r="E490">
        <v>911</v>
      </c>
      <c r="F490">
        <v>2733</v>
      </c>
      <c r="G490" t="s">
        <v>7</v>
      </c>
      <c r="H490">
        <v>2025</v>
      </c>
      <c r="I490" t="s">
        <v>1370</v>
      </c>
      <c r="J490" t="s">
        <v>1359</v>
      </c>
    </row>
    <row r="491" spans="1:10" x14ac:dyDescent="0.3">
      <c r="A491" s="21">
        <v>46012</v>
      </c>
      <c r="B491" t="s">
        <v>707</v>
      </c>
      <c r="C491" t="s">
        <v>6</v>
      </c>
      <c r="D491">
        <v>6</v>
      </c>
      <c r="E491">
        <v>775</v>
      </c>
      <c r="F491">
        <v>4650</v>
      </c>
      <c r="G491" t="s">
        <v>19</v>
      </c>
      <c r="H491">
        <v>2025</v>
      </c>
      <c r="I491" t="s">
        <v>1370</v>
      </c>
      <c r="J491" t="s">
        <v>1361</v>
      </c>
    </row>
    <row r="492" spans="1:10" x14ac:dyDescent="0.3">
      <c r="A492" s="21">
        <v>46013</v>
      </c>
      <c r="B492" t="s">
        <v>74</v>
      </c>
      <c r="C492" t="s">
        <v>24</v>
      </c>
      <c r="D492">
        <v>4</v>
      </c>
      <c r="E492">
        <v>378</v>
      </c>
      <c r="F492">
        <v>1512</v>
      </c>
      <c r="G492" t="s">
        <v>19</v>
      </c>
      <c r="H492">
        <v>2025</v>
      </c>
      <c r="I492" t="s">
        <v>1370</v>
      </c>
      <c r="J492" t="s">
        <v>1363</v>
      </c>
    </row>
    <row r="493" spans="1:10" x14ac:dyDescent="0.3">
      <c r="A493" s="21">
        <v>46014</v>
      </c>
      <c r="B493" t="s">
        <v>1258</v>
      </c>
      <c r="C493" t="s">
        <v>79</v>
      </c>
      <c r="D493">
        <v>5</v>
      </c>
      <c r="E493">
        <v>208</v>
      </c>
      <c r="F493">
        <v>1040</v>
      </c>
      <c r="G493" t="s">
        <v>11</v>
      </c>
      <c r="H493">
        <v>2025</v>
      </c>
      <c r="I493" t="s">
        <v>1370</v>
      </c>
      <c r="J493" t="s">
        <v>1353</v>
      </c>
    </row>
    <row r="494" spans="1:10" x14ac:dyDescent="0.3">
      <c r="A494" s="21">
        <v>46014</v>
      </c>
      <c r="B494" t="s">
        <v>1060</v>
      </c>
      <c r="C494" t="s">
        <v>18</v>
      </c>
      <c r="D494">
        <v>2</v>
      </c>
      <c r="E494">
        <v>790</v>
      </c>
      <c r="F494">
        <v>1580</v>
      </c>
      <c r="G494" t="s">
        <v>19</v>
      </c>
      <c r="H494">
        <v>2025</v>
      </c>
      <c r="I494" t="s">
        <v>1370</v>
      </c>
      <c r="J494" t="s">
        <v>1353</v>
      </c>
    </row>
    <row r="495" spans="1:10" x14ac:dyDescent="0.3">
      <c r="A495" s="21">
        <v>46015</v>
      </c>
      <c r="B495" t="s">
        <v>285</v>
      </c>
      <c r="C495" t="s">
        <v>18</v>
      </c>
      <c r="D495">
        <v>5</v>
      </c>
      <c r="E495">
        <v>211</v>
      </c>
      <c r="F495">
        <v>1055</v>
      </c>
      <c r="G495" t="s">
        <v>7</v>
      </c>
      <c r="H495">
        <v>2025</v>
      </c>
      <c r="I495" t="s">
        <v>1370</v>
      </c>
      <c r="J495" t="s">
        <v>1358</v>
      </c>
    </row>
    <row r="496" spans="1:10" x14ac:dyDescent="0.3">
      <c r="A496" s="21">
        <v>46015</v>
      </c>
      <c r="B496" t="s">
        <v>622</v>
      </c>
      <c r="C496" t="s">
        <v>24</v>
      </c>
      <c r="D496">
        <v>5</v>
      </c>
      <c r="E496">
        <v>625</v>
      </c>
      <c r="F496">
        <v>3125</v>
      </c>
      <c r="G496" t="s">
        <v>33</v>
      </c>
      <c r="H496">
        <v>2025</v>
      </c>
      <c r="I496" t="s">
        <v>1370</v>
      </c>
      <c r="J496" t="s">
        <v>1358</v>
      </c>
    </row>
    <row r="497" spans="1:10" x14ac:dyDescent="0.3">
      <c r="A497" s="21">
        <v>46017</v>
      </c>
      <c r="B497" t="s">
        <v>642</v>
      </c>
      <c r="C497" t="s">
        <v>18</v>
      </c>
      <c r="D497">
        <v>1</v>
      </c>
      <c r="E497">
        <v>746</v>
      </c>
      <c r="F497">
        <v>746</v>
      </c>
      <c r="G497" t="s">
        <v>15</v>
      </c>
      <c r="H497">
        <v>2025</v>
      </c>
      <c r="I497" t="s">
        <v>1370</v>
      </c>
      <c r="J497" t="s">
        <v>1366</v>
      </c>
    </row>
    <row r="498" spans="1:10" x14ac:dyDescent="0.3">
      <c r="A498" s="21">
        <v>46017</v>
      </c>
      <c r="B498" t="s">
        <v>17</v>
      </c>
      <c r="C498" t="s">
        <v>18</v>
      </c>
      <c r="D498">
        <v>5</v>
      </c>
      <c r="E498">
        <v>811</v>
      </c>
      <c r="F498">
        <v>4055</v>
      </c>
      <c r="G498" t="s">
        <v>19</v>
      </c>
      <c r="H498">
        <v>2025</v>
      </c>
      <c r="I498" t="s">
        <v>1370</v>
      </c>
      <c r="J498" t="s">
        <v>1366</v>
      </c>
    </row>
    <row r="499" spans="1:10" x14ac:dyDescent="0.3">
      <c r="A499" s="21">
        <v>46019</v>
      </c>
      <c r="B499" t="s">
        <v>820</v>
      </c>
      <c r="C499" t="s">
        <v>65</v>
      </c>
      <c r="D499">
        <v>4</v>
      </c>
      <c r="E499">
        <v>840</v>
      </c>
      <c r="F499">
        <v>3360</v>
      </c>
      <c r="G499" t="s">
        <v>15</v>
      </c>
      <c r="H499">
        <v>2025</v>
      </c>
      <c r="I499" t="s">
        <v>1370</v>
      </c>
      <c r="J499" t="s">
        <v>1361</v>
      </c>
    </row>
    <row r="500" spans="1:10" x14ac:dyDescent="0.3">
      <c r="A500" s="21">
        <v>46020</v>
      </c>
      <c r="B500" t="s">
        <v>1332</v>
      </c>
      <c r="C500" t="s">
        <v>24</v>
      </c>
      <c r="D500">
        <v>3</v>
      </c>
      <c r="E500">
        <v>691</v>
      </c>
      <c r="F500">
        <v>2073</v>
      </c>
      <c r="G500" t="s">
        <v>19</v>
      </c>
      <c r="H500">
        <v>2025</v>
      </c>
      <c r="I500" t="s">
        <v>1370</v>
      </c>
      <c r="J500" t="s">
        <v>1363</v>
      </c>
    </row>
    <row r="501" spans="1:10" x14ac:dyDescent="0.3">
      <c r="A501" s="21">
        <v>46021</v>
      </c>
      <c r="B501" t="s">
        <v>637</v>
      </c>
      <c r="C501" t="s">
        <v>79</v>
      </c>
      <c r="D501">
        <v>3</v>
      </c>
      <c r="E501">
        <v>832</v>
      </c>
      <c r="F501">
        <v>2496</v>
      </c>
      <c r="G501" t="s">
        <v>33</v>
      </c>
      <c r="H501">
        <v>2025</v>
      </c>
      <c r="I501" t="s">
        <v>1370</v>
      </c>
      <c r="J501" t="s">
        <v>1353</v>
      </c>
    </row>
    <row r="502" spans="1:10" x14ac:dyDescent="0.3">
      <c r="A502" s="21">
        <v>45688</v>
      </c>
      <c r="B502" t="s">
        <v>1129</v>
      </c>
      <c r="C502" t="s">
        <v>65</v>
      </c>
      <c r="D502">
        <v>3</v>
      </c>
      <c r="E502">
        <v>627</v>
      </c>
      <c r="F502">
        <v>1882</v>
      </c>
      <c r="G502" t="s">
        <v>15</v>
      </c>
      <c r="H502">
        <v>2025</v>
      </c>
      <c r="I502" t="s">
        <v>1367</v>
      </c>
      <c r="J502" t="s">
        <v>1366</v>
      </c>
    </row>
    <row r="503" spans="1:10" x14ac:dyDescent="0.3">
      <c r="A503" s="21">
        <v>45759</v>
      </c>
      <c r="B503" t="s">
        <v>1004</v>
      </c>
      <c r="C503" t="s">
        <v>65</v>
      </c>
      <c r="D503">
        <v>3</v>
      </c>
      <c r="E503">
        <v>627</v>
      </c>
      <c r="F503">
        <v>1882</v>
      </c>
      <c r="G503" t="s">
        <v>33</v>
      </c>
      <c r="H503">
        <v>2025</v>
      </c>
      <c r="I503" t="s">
        <v>1355</v>
      </c>
      <c r="J503" t="s">
        <v>1359</v>
      </c>
    </row>
    <row r="504" spans="1:10" x14ac:dyDescent="0.3">
      <c r="A504" s="21">
        <v>45776</v>
      </c>
      <c r="B504" t="s">
        <v>516</v>
      </c>
      <c r="C504" t="s">
        <v>30</v>
      </c>
      <c r="D504">
        <v>3</v>
      </c>
      <c r="E504">
        <v>627</v>
      </c>
      <c r="F504">
        <v>1882</v>
      </c>
      <c r="G504" t="s">
        <v>15</v>
      </c>
      <c r="H504">
        <v>2025</v>
      </c>
      <c r="I504" t="s">
        <v>1355</v>
      </c>
      <c r="J504" t="s">
        <v>1353</v>
      </c>
    </row>
    <row r="505" spans="1:10" x14ac:dyDescent="0.3">
      <c r="A505" s="21">
        <v>45969</v>
      </c>
      <c r="B505" t="s">
        <v>980</v>
      </c>
      <c r="C505" t="s">
        <v>38</v>
      </c>
      <c r="D505">
        <v>3</v>
      </c>
      <c r="E505">
        <v>627</v>
      </c>
      <c r="F505">
        <v>1882</v>
      </c>
      <c r="G505" t="s">
        <v>27</v>
      </c>
      <c r="H505">
        <v>2025</v>
      </c>
      <c r="I505" t="s">
        <v>1357</v>
      </c>
      <c r="J505" t="s">
        <v>1359</v>
      </c>
    </row>
    <row r="506" spans="1:10" x14ac:dyDescent="0.3">
      <c r="A506" s="21">
        <v>45675</v>
      </c>
      <c r="B506" t="s">
        <v>1198</v>
      </c>
      <c r="C506" t="s">
        <v>6</v>
      </c>
      <c r="D506">
        <v>3</v>
      </c>
      <c r="E506">
        <v>120</v>
      </c>
      <c r="F506">
        <v>360</v>
      </c>
      <c r="G506" t="s">
        <v>27</v>
      </c>
      <c r="H506">
        <v>2025</v>
      </c>
      <c r="I506" t="s">
        <v>1367</v>
      </c>
      <c r="J506" t="s">
        <v>1359</v>
      </c>
    </row>
    <row r="507" spans="1:10" x14ac:dyDescent="0.3">
      <c r="A507" s="21">
        <v>45690</v>
      </c>
      <c r="B507" t="s">
        <v>510</v>
      </c>
      <c r="C507" t="s">
        <v>10</v>
      </c>
      <c r="D507">
        <v>3</v>
      </c>
      <c r="E507">
        <v>370</v>
      </c>
      <c r="F507">
        <v>1110</v>
      </c>
      <c r="G507" t="s">
        <v>15</v>
      </c>
      <c r="H507">
        <v>2025</v>
      </c>
      <c r="I507" t="s">
        <v>1352</v>
      </c>
      <c r="J507" t="s">
        <v>1361</v>
      </c>
    </row>
    <row r="508" spans="1:10" x14ac:dyDescent="0.3">
      <c r="A508" s="21">
        <v>45708</v>
      </c>
      <c r="B508" t="s">
        <v>892</v>
      </c>
      <c r="C508" t="s">
        <v>65</v>
      </c>
      <c r="D508">
        <v>3</v>
      </c>
      <c r="E508">
        <v>328</v>
      </c>
      <c r="F508">
        <v>984</v>
      </c>
      <c r="G508" t="s">
        <v>19</v>
      </c>
      <c r="H508">
        <v>2025</v>
      </c>
      <c r="I508" t="s">
        <v>1352</v>
      </c>
      <c r="J508" t="s">
        <v>1356</v>
      </c>
    </row>
    <row r="509" spans="1:10" x14ac:dyDescent="0.3">
      <c r="A509" s="21">
        <v>45709</v>
      </c>
      <c r="B509" t="s">
        <v>534</v>
      </c>
      <c r="C509" t="s">
        <v>68</v>
      </c>
      <c r="D509">
        <v>3</v>
      </c>
      <c r="E509">
        <v>303</v>
      </c>
      <c r="F509">
        <v>909</v>
      </c>
      <c r="G509" t="s">
        <v>27</v>
      </c>
      <c r="H509">
        <v>2025</v>
      </c>
      <c r="I509" t="s">
        <v>1352</v>
      </c>
      <c r="J509" t="s">
        <v>1366</v>
      </c>
    </row>
    <row r="510" spans="1:10" x14ac:dyDescent="0.3">
      <c r="A510" s="21">
        <v>45713</v>
      </c>
      <c r="B510" t="s">
        <v>1327</v>
      </c>
      <c r="C510" t="s">
        <v>38</v>
      </c>
      <c r="D510">
        <v>3</v>
      </c>
      <c r="E510">
        <v>655</v>
      </c>
      <c r="F510">
        <v>1965</v>
      </c>
      <c r="G510" t="s">
        <v>11</v>
      </c>
      <c r="H510">
        <v>2025</v>
      </c>
      <c r="I510" t="s">
        <v>1352</v>
      </c>
      <c r="J510" t="s">
        <v>1353</v>
      </c>
    </row>
    <row r="511" spans="1:10" x14ac:dyDescent="0.3">
      <c r="A511" s="21">
        <v>45716</v>
      </c>
      <c r="B511" t="s">
        <v>124</v>
      </c>
      <c r="C511" t="s">
        <v>18</v>
      </c>
      <c r="D511">
        <v>3</v>
      </c>
      <c r="E511">
        <v>108</v>
      </c>
      <c r="F511">
        <v>324</v>
      </c>
      <c r="G511" t="s">
        <v>15</v>
      </c>
      <c r="H511">
        <v>2025</v>
      </c>
      <c r="I511" t="s">
        <v>1352</v>
      </c>
      <c r="J511" t="s">
        <v>1366</v>
      </c>
    </row>
    <row r="512" spans="1:10" x14ac:dyDescent="0.3">
      <c r="A512" s="21">
        <v>45727</v>
      </c>
      <c r="B512" t="s">
        <v>1028</v>
      </c>
      <c r="C512" t="s">
        <v>14</v>
      </c>
      <c r="D512">
        <v>3</v>
      </c>
      <c r="E512">
        <v>229</v>
      </c>
      <c r="F512">
        <v>687</v>
      </c>
      <c r="G512" t="s">
        <v>33</v>
      </c>
      <c r="H512">
        <v>2025</v>
      </c>
      <c r="I512" t="s">
        <v>1354</v>
      </c>
      <c r="J512" t="s">
        <v>1353</v>
      </c>
    </row>
    <row r="513" spans="1:10" x14ac:dyDescent="0.3">
      <c r="A513" s="21">
        <v>45740</v>
      </c>
      <c r="B513" t="s">
        <v>1336</v>
      </c>
      <c r="C513" t="s">
        <v>30</v>
      </c>
      <c r="D513">
        <v>3</v>
      </c>
      <c r="E513">
        <v>557</v>
      </c>
      <c r="F513">
        <v>1671</v>
      </c>
      <c r="G513" t="s">
        <v>7</v>
      </c>
      <c r="H513">
        <v>2025</v>
      </c>
      <c r="I513" t="s">
        <v>1354</v>
      </c>
      <c r="J513" t="s">
        <v>1363</v>
      </c>
    </row>
    <row r="514" spans="1:10" x14ac:dyDescent="0.3">
      <c r="A514" s="21">
        <v>45799</v>
      </c>
      <c r="B514" t="s">
        <v>854</v>
      </c>
      <c r="C514" t="s">
        <v>14</v>
      </c>
      <c r="D514">
        <v>3</v>
      </c>
      <c r="E514">
        <v>623</v>
      </c>
      <c r="F514">
        <v>1869</v>
      </c>
      <c r="G514" t="s">
        <v>33</v>
      </c>
      <c r="H514">
        <v>2025</v>
      </c>
      <c r="I514" t="s">
        <v>1368</v>
      </c>
      <c r="J514" t="s">
        <v>1356</v>
      </c>
    </row>
    <row r="515" spans="1:10" x14ac:dyDescent="0.3">
      <c r="A515" s="21">
        <v>45827</v>
      </c>
      <c r="B515" t="s">
        <v>557</v>
      </c>
      <c r="C515" t="s">
        <v>14</v>
      </c>
      <c r="D515">
        <v>3</v>
      </c>
      <c r="E515">
        <v>370</v>
      </c>
      <c r="F515">
        <v>1110</v>
      </c>
      <c r="G515" t="s">
        <v>19</v>
      </c>
      <c r="H515">
        <v>2025</v>
      </c>
      <c r="I515" t="s">
        <v>1369</v>
      </c>
      <c r="J515" t="s">
        <v>1356</v>
      </c>
    </row>
    <row r="516" spans="1:10" x14ac:dyDescent="0.3">
      <c r="A516" s="21">
        <v>45886</v>
      </c>
      <c r="B516" t="s">
        <v>617</v>
      </c>
      <c r="C516" t="s">
        <v>10</v>
      </c>
      <c r="D516">
        <v>3</v>
      </c>
      <c r="E516">
        <v>424</v>
      </c>
      <c r="F516">
        <v>1272</v>
      </c>
      <c r="G516" t="s">
        <v>19</v>
      </c>
      <c r="H516">
        <v>2025</v>
      </c>
      <c r="I516" t="s">
        <v>1362</v>
      </c>
      <c r="J516" t="s">
        <v>1361</v>
      </c>
    </row>
    <row r="517" spans="1:10" x14ac:dyDescent="0.3">
      <c r="A517" s="21">
        <v>45960</v>
      </c>
      <c r="B517" t="s">
        <v>419</v>
      </c>
      <c r="C517" t="s">
        <v>30</v>
      </c>
      <c r="D517">
        <v>3</v>
      </c>
      <c r="E517">
        <v>360</v>
      </c>
      <c r="F517">
        <v>1080</v>
      </c>
      <c r="G517" t="s">
        <v>19</v>
      </c>
      <c r="H517">
        <v>2025</v>
      </c>
      <c r="I517" t="s">
        <v>1365</v>
      </c>
      <c r="J517" t="s">
        <v>1356</v>
      </c>
    </row>
    <row r="518" spans="1:10" x14ac:dyDescent="0.3">
      <c r="A518" s="21">
        <v>46015</v>
      </c>
      <c r="B518" t="s">
        <v>933</v>
      </c>
      <c r="C518" t="s">
        <v>14</v>
      </c>
      <c r="D518">
        <v>3</v>
      </c>
      <c r="E518">
        <v>538</v>
      </c>
      <c r="F518">
        <v>1614</v>
      </c>
      <c r="G518" t="s">
        <v>7</v>
      </c>
      <c r="H518">
        <v>2025</v>
      </c>
      <c r="I518" t="s">
        <v>1370</v>
      </c>
      <c r="J518" t="s">
        <v>1358</v>
      </c>
    </row>
    <row r="519" spans="1:10" x14ac:dyDescent="0.3">
      <c r="A519" s="21">
        <v>45667</v>
      </c>
      <c r="B519" t="s">
        <v>234</v>
      </c>
      <c r="C519" t="s">
        <v>24</v>
      </c>
      <c r="D519">
        <v>4</v>
      </c>
      <c r="E519">
        <v>470</v>
      </c>
      <c r="F519">
        <v>1882</v>
      </c>
      <c r="G519" t="s">
        <v>11</v>
      </c>
      <c r="H519">
        <v>2025</v>
      </c>
      <c r="I519" t="s">
        <v>1367</v>
      </c>
      <c r="J519" t="s">
        <v>1366</v>
      </c>
    </row>
    <row r="520" spans="1:10" x14ac:dyDescent="0.3">
      <c r="A520" s="21">
        <v>45671</v>
      </c>
      <c r="B520" t="s">
        <v>999</v>
      </c>
      <c r="C520" t="s">
        <v>30</v>
      </c>
      <c r="D520">
        <v>6</v>
      </c>
      <c r="E520">
        <v>314</v>
      </c>
      <c r="F520">
        <v>1882</v>
      </c>
      <c r="G520" t="s">
        <v>19</v>
      </c>
      <c r="H520">
        <v>2025</v>
      </c>
      <c r="I520" t="s">
        <v>1367</v>
      </c>
      <c r="J520" t="s">
        <v>1353</v>
      </c>
    </row>
    <row r="521" spans="1:10" x14ac:dyDescent="0.3">
      <c r="A521" s="21">
        <v>45679</v>
      </c>
      <c r="B521" t="s">
        <v>1217</v>
      </c>
      <c r="C521" t="s">
        <v>68</v>
      </c>
      <c r="D521">
        <v>4</v>
      </c>
      <c r="E521">
        <v>470</v>
      </c>
      <c r="F521">
        <v>1882</v>
      </c>
      <c r="G521" t="s">
        <v>19</v>
      </c>
      <c r="H521">
        <v>2025</v>
      </c>
      <c r="I521" t="s">
        <v>1367</v>
      </c>
      <c r="J521" t="s">
        <v>1358</v>
      </c>
    </row>
    <row r="522" spans="1:10" x14ac:dyDescent="0.3">
      <c r="A522" s="21">
        <v>45722</v>
      </c>
      <c r="B522" t="s">
        <v>732</v>
      </c>
      <c r="C522" t="s">
        <v>14</v>
      </c>
      <c r="D522">
        <v>1</v>
      </c>
      <c r="E522">
        <v>1882</v>
      </c>
      <c r="F522">
        <v>1882</v>
      </c>
      <c r="G522" t="s">
        <v>33</v>
      </c>
      <c r="H522">
        <v>2025</v>
      </c>
      <c r="I522" t="s">
        <v>1354</v>
      </c>
      <c r="J522" t="s">
        <v>1356</v>
      </c>
    </row>
    <row r="523" spans="1:10" x14ac:dyDescent="0.3">
      <c r="A523" s="21">
        <v>45769</v>
      </c>
      <c r="B523" t="s">
        <v>321</v>
      </c>
      <c r="C523" t="s">
        <v>24</v>
      </c>
      <c r="D523">
        <v>5</v>
      </c>
      <c r="E523">
        <v>376</v>
      </c>
      <c r="F523">
        <v>1882</v>
      </c>
      <c r="G523" t="s">
        <v>19</v>
      </c>
      <c r="H523">
        <v>2025</v>
      </c>
      <c r="I523" t="s">
        <v>1355</v>
      </c>
      <c r="J523" t="s">
        <v>1353</v>
      </c>
    </row>
    <row r="524" spans="1:10" x14ac:dyDescent="0.3">
      <c r="A524" s="21">
        <v>45813</v>
      </c>
      <c r="B524" t="s">
        <v>688</v>
      </c>
      <c r="C524" t="s">
        <v>30</v>
      </c>
      <c r="D524">
        <v>1</v>
      </c>
      <c r="E524">
        <v>1882</v>
      </c>
      <c r="F524">
        <v>1882</v>
      </c>
      <c r="G524" t="s">
        <v>33</v>
      </c>
      <c r="H524">
        <v>2025</v>
      </c>
      <c r="I524" t="s">
        <v>1369</v>
      </c>
      <c r="J524" t="s">
        <v>1356</v>
      </c>
    </row>
    <row r="525" spans="1:10" x14ac:dyDescent="0.3">
      <c r="A525" s="21">
        <v>45822</v>
      </c>
      <c r="B525" t="s">
        <v>1281</v>
      </c>
      <c r="C525" t="s">
        <v>10</v>
      </c>
      <c r="D525">
        <v>6</v>
      </c>
      <c r="E525">
        <v>314</v>
      </c>
      <c r="F525">
        <v>1882</v>
      </c>
      <c r="G525" t="s">
        <v>7</v>
      </c>
      <c r="H525">
        <v>2025</v>
      </c>
      <c r="I525" t="s">
        <v>1369</v>
      </c>
      <c r="J525" t="s">
        <v>1359</v>
      </c>
    </row>
    <row r="526" spans="1:10" x14ac:dyDescent="0.3">
      <c r="A526" s="21">
        <v>45835</v>
      </c>
      <c r="B526" t="s">
        <v>1218</v>
      </c>
      <c r="C526" t="s">
        <v>14</v>
      </c>
      <c r="D526">
        <v>5</v>
      </c>
      <c r="E526">
        <v>376</v>
      </c>
      <c r="F526">
        <v>1882</v>
      </c>
      <c r="G526" t="s">
        <v>19</v>
      </c>
      <c r="H526">
        <v>2025</v>
      </c>
      <c r="I526" t="s">
        <v>1369</v>
      </c>
      <c r="J526" t="s">
        <v>1366</v>
      </c>
    </row>
    <row r="527" spans="1:10" x14ac:dyDescent="0.3">
      <c r="A527" s="21">
        <v>45850</v>
      </c>
      <c r="B527" t="s">
        <v>706</v>
      </c>
      <c r="C527" t="s">
        <v>68</v>
      </c>
      <c r="D527">
        <v>6</v>
      </c>
      <c r="E527">
        <v>314</v>
      </c>
      <c r="F527">
        <v>1882</v>
      </c>
      <c r="G527" t="s">
        <v>11</v>
      </c>
      <c r="H527">
        <v>2025</v>
      </c>
      <c r="I527" t="s">
        <v>1360</v>
      </c>
      <c r="J527" t="s">
        <v>1359</v>
      </c>
    </row>
    <row r="528" spans="1:10" x14ac:dyDescent="0.3">
      <c r="A528" s="21">
        <v>45867</v>
      </c>
      <c r="B528" t="s">
        <v>879</v>
      </c>
      <c r="C528" t="s">
        <v>68</v>
      </c>
      <c r="D528">
        <v>6</v>
      </c>
      <c r="E528">
        <v>314</v>
      </c>
      <c r="F528">
        <v>1882</v>
      </c>
      <c r="G528" t="s">
        <v>27</v>
      </c>
      <c r="H528">
        <v>2025</v>
      </c>
      <c r="I528" t="s">
        <v>1360</v>
      </c>
      <c r="J528" t="s">
        <v>1353</v>
      </c>
    </row>
    <row r="529" spans="1:10" x14ac:dyDescent="0.3">
      <c r="A529" s="21">
        <v>45873</v>
      </c>
      <c r="B529" t="s">
        <v>814</v>
      </c>
      <c r="C529" t="s">
        <v>65</v>
      </c>
      <c r="D529">
        <v>3</v>
      </c>
      <c r="E529">
        <v>627</v>
      </c>
      <c r="F529">
        <v>1882</v>
      </c>
      <c r="G529" t="s">
        <v>15</v>
      </c>
      <c r="H529">
        <v>2025</v>
      </c>
      <c r="I529" t="s">
        <v>1362</v>
      </c>
      <c r="J529" t="s">
        <v>1363</v>
      </c>
    </row>
    <row r="530" spans="1:10" x14ac:dyDescent="0.3">
      <c r="A530" s="21">
        <v>45912</v>
      </c>
      <c r="B530" t="s">
        <v>549</v>
      </c>
      <c r="C530" t="s">
        <v>18</v>
      </c>
      <c r="D530">
        <v>6</v>
      </c>
      <c r="E530">
        <v>314</v>
      </c>
      <c r="F530">
        <v>1882</v>
      </c>
      <c r="G530" t="s">
        <v>19</v>
      </c>
      <c r="H530">
        <v>2025</v>
      </c>
      <c r="I530" t="s">
        <v>1364</v>
      </c>
      <c r="J530" t="s">
        <v>1366</v>
      </c>
    </row>
    <row r="531" spans="1:10" x14ac:dyDescent="0.3">
      <c r="A531" s="21">
        <v>45929</v>
      </c>
      <c r="B531" t="s">
        <v>540</v>
      </c>
      <c r="C531" t="s">
        <v>30</v>
      </c>
      <c r="D531">
        <v>3</v>
      </c>
      <c r="E531">
        <v>627</v>
      </c>
      <c r="F531">
        <v>1882</v>
      </c>
      <c r="G531" t="s">
        <v>15</v>
      </c>
      <c r="H531">
        <v>2025</v>
      </c>
      <c r="I531" t="s">
        <v>1364</v>
      </c>
      <c r="J531" t="s">
        <v>1363</v>
      </c>
    </row>
    <row r="532" spans="1:10" x14ac:dyDescent="0.3">
      <c r="A532" s="21">
        <v>45937</v>
      </c>
      <c r="B532" t="s">
        <v>1297</v>
      </c>
      <c r="C532" t="s">
        <v>14</v>
      </c>
      <c r="D532">
        <v>3</v>
      </c>
      <c r="E532">
        <v>627</v>
      </c>
      <c r="F532">
        <v>1882</v>
      </c>
      <c r="G532" t="s">
        <v>27</v>
      </c>
      <c r="H532">
        <v>2025</v>
      </c>
      <c r="I532" t="s">
        <v>1365</v>
      </c>
      <c r="J532" t="s">
        <v>1353</v>
      </c>
    </row>
    <row r="533" spans="1:10" x14ac:dyDescent="0.3">
      <c r="A533" s="21">
        <v>45942</v>
      </c>
      <c r="B533" t="s">
        <v>1143</v>
      </c>
      <c r="C533" t="s">
        <v>68</v>
      </c>
      <c r="D533">
        <v>2</v>
      </c>
      <c r="E533">
        <v>941</v>
      </c>
      <c r="F533">
        <v>1882</v>
      </c>
      <c r="G533" t="s">
        <v>33</v>
      </c>
      <c r="H533">
        <v>2025</v>
      </c>
      <c r="I533" t="s">
        <v>1365</v>
      </c>
      <c r="J533" t="s">
        <v>1361</v>
      </c>
    </row>
    <row r="534" spans="1:10" x14ac:dyDescent="0.3">
      <c r="A534" s="21">
        <v>45679</v>
      </c>
      <c r="B534" t="s">
        <v>167</v>
      </c>
      <c r="C534" t="s">
        <v>38</v>
      </c>
      <c r="D534">
        <v>3</v>
      </c>
      <c r="E534">
        <v>850</v>
      </c>
      <c r="F534">
        <v>2550</v>
      </c>
      <c r="G534" t="s">
        <v>27</v>
      </c>
      <c r="H534">
        <v>2025</v>
      </c>
      <c r="I534" t="s">
        <v>1367</v>
      </c>
      <c r="J534" t="s">
        <v>1358</v>
      </c>
    </row>
    <row r="535" spans="1:10" x14ac:dyDescent="0.3">
      <c r="A535" s="21">
        <v>45705</v>
      </c>
      <c r="B535" t="s">
        <v>625</v>
      </c>
      <c r="C535" t="s">
        <v>14</v>
      </c>
      <c r="D535">
        <v>3</v>
      </c>
      <c r="E535">
        <v>702</v>
      </c>
      <c r="F535">
        <v>2105</v>
      </c>
      <c r="G535" t="s">
        <v>11</v>
      </c>
      <c r="H535">
        <v>2025</v>
      </c>
      <c r="I535" t="s">
        <v>1352</v>
      </c>
      <c r="J535" t="s">
        <v>1363</v>
      </c>
    </row>
    <row r="536" spans="1:10" x14ac:dyDescent="0.3">
      <c r="A536" s="21">
        <v>45723</v>
      </c>
      <c r="B536" t="s">
        <v>1141</v>
      </c>
      <c r="C536" t="s">
        <v>38</v>
      </c>
      <c r="D536">
        <v>3</v>
      </c>
      <c r="E536">
        <v>171</v>
      </c>
      <c r="F536">
        <v>514</v>
      </c>
      <c r="G536" t="s">
        <v>33</v>
      </c>
      <c r="H536">
        <v>2025</v>
      </c>
      <c r="I536" t="s">
        <v>1354</v>
      </c>
      <c r="J536" t="s">
        <v>1366</v>
      </c>
    </row>
    <row r="537" spans="1:10" x14ac:dyDescent="0.3">
      <c r="A537" s="21">
        <v>45765</v>
      </c>
      <c r="B537" t="s">
        <v>1136</v>
      </c>
      <c r="C537" t="s">
        <v>14</v>
      </c>
      <c r="D537">
        <v>3</v>
      </c>
      <c r="E537">
        <v>151</v>
      </c>
      <c r="F537">
        <v>452</v>
      </c>
      <c r="G537" t="s">
        <v>7</v>
      </c>
      <c r="H537">
        <v>2025</v>
      </c>
      <c r="I537" t="s">
        <v>1355</v>
      </c>
      <c r="J537" t="s">
        <v>1366</v>
      </c>
    </row>
    <row r="538" spans="1:10" x14ac:dyDescent="0.3">
      <c r="A538" s="21">
        <v>45796</v>
      </c>
      <c r="B538" t="s">
        <v>866</v>
      </c>
      <c r="C538" t="s">
        <v>38</v>
      </c>
      <c r="D538">
        <v>3</v>
      </c>
      <c r="E538">
        <v>1184</v>
      </c>
      <c r="F538">
        <v>3552</v>
      </c>
      <c r="G538" t="s">
        <v>15</v>
      </c>
      <c r="H538">
        <v>2025</v>
      </c>
      <c r="I538" t="s">
        <v>1368</v>
      </c>
      <c r="J538" t="s">
        <v>1363</v>
      </c>
    </row>
    <row r="539" spans="1:10" x14ac:dyDescent="0.3">
      <c r="A539" s="21">
        <v>45814</v>
      </c>
      <c r="B539" t="s">
        <v>651</v>
      </c>
      <c r="C539" t="s">
        <v>79</v>
      </c>
      <c r="D539">
        <v>3</v>
      </c>
      <c r="E539">
        <v>864</v>
      </c>
      <c r="F539">
        <v>2592</v>
      </c>
      <c r="G539" t="s">
        <v>19</v>
      </c>
      <c r="H539">
        <v>2025</v>
      </c>
      <c r="I539" t="s">
        <v>1369</v>
      </c>
      <c r="J539" t="s">
        <v>1366</v>
      </c>
    </row>
    <row r="540" spans="1:10" x14ac:dyDescent="0.3">
      <c r="A540" s="21">
        <v>45859</v>
      </c>
      <c r="B540" t="s">
        <v>785</v>
      </c>
      <c r="C540" t="s">
        <v>18</v>
      </c>
      <c r="D540">
        <v>3</v>
      </c>
      <c r="E540">
        <v>676</v>
      </c>
      <c r="F540">
        <v>2028</v>
      </c>
      <c r="G540" t="s">
        <v>33</v>
      </c>
      <c r="H540">
        <v>2025</v>
      </c>
      <c r="I540" t="s">
        <v>1360</v>
      </c>
      <c r="J540" t="s">
        <v>1363</v>
      </c>
    </row>
    <row r="541" spans="1:10" x14ac:dyDescent="0.3">
      <c r="A541" s="21">
        <v>45865</v>
      </c>
      <c r="B541" t="s">
        <v>197</v>
      </c>
      <c r="C541" t="s">
        <v>38</v>
      </c>
      <c r="D541">
        <v>3</v>
      </c>
      <c r="E541">
        <v>425</v>
      </c>
      <c r="F541">
        <v>1275</v>
      </c>
      <c r="G541" t="s">
        <v>7</v>
      </c>
      <c r="H541">
        <v>2025</v>
      </c>
      <c r="I541" t="s">
        <v>1360</v>
      </c>
      <c r="J541" t="s">
        <v>1361</v>
      </c>
    </row>
    <row r="542" spans="1:10" x14ac:dyDescent="0.3">
      <c r="A542" s="21">
        <v>45899</v>
      </c>
      <c r="B542" t="s">
        <v>774</v>
      </c>
      <c r="C542" t="s">
        <v>6</v>
      </c>
      <c r="D542">
        <v>3</v>
      </c>
      <c r="E542">
        <v>124</v>
      </c>
      <c r="F542">
        <v>371</v>
      </c>
      <c r="G542" t="s">
        <v>11</v>
      </c>
      <c r="H542">
        <v>2025</v>
      </c>
      <c r="I542" t="s">
        <v>1362</v>
      </c>
      <c r="J542" t="s">
        <v>1359</v>
      </c>
    </row>
    <row r="543" spans="1:10" x14ac:dyDescent="0.3">
      <c r="A543" s="21">
        <v>45900</v>
      </c>
      <c r="B543" t="s">
        <v>1128</v>
      </c>
      <c r="C543" t="s">
        <v>14</v>
      </c>
      <c r="D543">
        <v>3</v>
      </c>
      <c r="E543">
        <v>787</v>
      </c>
      <c r="F543">
        <v>2360</v>
      </c>
      <c r="G543" t="s">
        <v>11</v>
      </c>
      <c r="H543">
        <v>2025</v>
      </c>
      <c r="I543" t="s">
        <v>1362</v>
      </c>
      <c r="J543" t="s">
        <v>1361</v>
      </c>
    </row>
    <row r="544" spans="1:10" x14ac:dyDescent="0.3">
      <c r="A544" s="21">
        <v>45912</v>
      </c>
      <c r="B544" t="s">
        <v>951</v>
      </c>
      <c r="C544" t="s">
        <v>10</v>
      </c>
      <c r="D544">
        <v>3</v>
      </c>
      <c r="E544">
        <v>1194</v>
      </c>
      <c r="F544">
        <v>3582</v>
      </c>
      <c r="G544" t="s">
        <v>15</v>
      </c>
      <c r="H544">
        <v>2025</v>
      </c>
      <c r="I544" t="s">
        <v>1364</v>
      </c>
      <c r="J544" t="s">
        <v>1366</v>
      </c>
    </row>
    <row r="545" spans="1:10" x14ac:dyDescent="0.3">
      <c r="A545" s="21">
        <v>46011</v>
      </c>
      <c r="B545" t="s">
        <v>621</v>
      </c>
      <c r="C545" t="s">
        <v>38</v>
      </c>
      <c r="D545">
        <v>3</v>
      </c>
      <c r="E545">
        <v>633</v>
      </c>
      <c r="F545">
        <v>1899</v>
      </c>
      <c r="G545" t="s">
        <v>7</v>
      </c>
      <c r="H545">
        <v>2025</v>
      </c>
      <c r="I545" t="s">
        <v>1370</v>
      </c>
      <c r="J545" t="s">
        <v>1359</v>
      </c>
    </row>
    <row r="546" spans="1:10" x14ac:dyDescent="0.3">
      <c r="A546" s="21">
        <v>46021</v>
      </c>
      <c r="B546" t="s">
        <v>842</v>
      </c>
      <c r="C546" t="s">
        <v>14</v>
      </c>
      <c r="D546">
        <v>3</v>
      </c>
      <c r="E546">
        <v>230</v>
      </c>
      <c r="F546">
        <v>690</v>
      </c>
      <c r="G546" t="s">
        <v>19</v>
      </c>
      <c r="H546">
        <v>2025</v>
      </c>
      <c r="I546" t="s">
        <v>1370</v>
      </c>
      <c r="J546" t="s">
        <v>1353</v>
      </c>
    </row>
    <row r="547" spans="1:10" x14ac:dyDescent="0.3">
      <c r="A547" s="21">
        <v>45658</v>
      </c>
      <c r="B547" t="s">
        <v>218</v>
      </c>
      <c r="C547" t="s">
        <v>38</v>
      </c>
      <c r="D547">
        <v>5</v>
      </c>
      <c r="E547">
        <v>446</v>
      </c>
      <c r="F547">
        <v>2230</v>
      </c>
      <c r="G547" t="s">
        <v>15</v>
      </c>
      <c r="H547">
        <v>2025</v>
      </c>
      <c r="I547" t="s">
        <v>1367</v>
      </c>
      <c r="J547" t="s">
        <v>1358</v>
      </c>
    </row>
    <row r="548" spans="1:10" x14ac:dyDescent="0.3">
      <c r="A548" s="21">
        <v>45659</v>
      </c>
      <c r="B548" t="s">
        <v>13</v>
      </c>
      <c r="C548" t="s">
        <v>14</v>
      </c>
      <c r="D548">
        <v>3</v>
      </c>
      <c r="E548">
        <v>459</v>
      </c>
      <c r="F548">
        <v>1377</v>
      </c>
      <c r="G548" t="s">
        <v>15</v>
      </c>
      <c r="H548">
        <v>2025</v>
      </c>
      <c r="I548" t="s">
        <v>1367</v>
      </c>
      <c r="J548" t="s">
        <v>1356</v>
      </c>
    </row>
    <row r="549" spans="1:10" x14ac:dyDescent="0.3">
      <c r="A549" s="21">
        <v>45660</v>
      </c>
      <c r="B549" t="s">
        <v>508</v>
      </c>
      <c r="C549" t="s">
        <v>10</v>
      </c>
      <c r="D549">
        <v>1</v>
      </c>
      <c r="E549">
        <v>197</v>
      </c>
      <c r="F549">
        <v>197</v>
      </c>
      <c r="G549" t="s">
        <v>27</v>
      </c>
      <c r="H549">
        <v>2025</v>
      </c>
      <c r="I549" t="s">
        <v>1367</v>
      </c>
      <c r="J549" t="s">
        <v>1366</v>
      </c>
    </row>
    <row r="550" spans="1:10" x14ac:dyDescent="0.3">
      <c r="A550" s="21">
        <v>45661</v>
      </c>
      <c r="B550" t="s">
        <v>5</v>
      </c>
      <c r="C550" t="s">
        <v>6</v>
      </c>
      <c r="D550">
        <v>3</v>
      </c>
      <c r="E550">
        <v>497</v>
      </c>
      <c r="F550">
        <v>1491</v>
      </c>
      <c r="G550" t="s">
        <v>7</v>
      </c>
      <c r="H550">
        <v>2025</v>
      </c>
      <c r="I550" t="s">
        <v>1367</v>
      </c>
      <c r="J550" t="s">
        <v>1359</v>
      </c>
    </row>
    <row r="551" spans="1:10" x14ac:dyDescent="0.3">
      <c r="A551" s="21">
        <v>45662</v>
      </c>
      <c r="B551" t="s">
        <v>484</v>
      </c>
      <c r="C551" t="s">
        <v>65</v>
      </c>
      <c r="D551">
        <v>1</v>
      </c>
      <c r="E551">
        <v>300</v>
      </c>
      <c r="F551">
        <v>300</v>
      </c>
      <c r="G551" t="s">
        <v>7</v>
      </c>
      <c r="H551">
        <v>2025</v>
      </c>
      <c r="I551" t="s">
        <v>1367</v>
      </c>
      <c r="J551" t="s">
        <v>1361</v>
      </c>
    </row>
    <row r="552" spans="1:10" x14ac:dyDescent="0.3">
      <c r="A552" s="21">
        <v>45663</v>
      </c>
      <c r="B552" t="s">
        <v>1055</v>
      </c>
      <c r="C552" t="s">
        <v>18</v>
      </c>
      <c r="D552">
        <v>3</v>
      </c>
      <c r="E552">
        <v>323</v>
      </c>
      <c r="F552">
        <v>969</v>
      </c>
      <c r="G552" t="s">
        <v>19</v>
      </c>
      <c r="H552">
        <v>2025</v>
      </c>
      <c r="I552" t="s">
        <v>1367</v>
      </c>
      <c r="J552" t="s">
        <v>1363</v>
      </c>
    </row>
    <row r="553" spans="1:10" x14ac:dyDescent="0.3">
      <c r="A553" s="21">
        <v>45666</v>
      </c>
      <c r="B553" t="s">
        <v>1119</v>
      </c>
      <c r="C553" t="s">
        <v>10</v>
      </c>
      <c r="D553">
        <v>5</v>
      </c>
      <c r="E553">
        <v>303</v>
      </c>
      <c r="F553">
        <v>1515</v>
      </c>
      <c r="G553" t="s">
        <v>27</v>
      </c>
      <c r="H553">
        <v>2025</v>
      </c>
      <c r="I553" t="s">
        <v>1367</v>
      </c>
      <c r="J553" t="s">
        <v>1356</v>
      </c>
    </row>
    <row r="554" spans="1:10" x14ac:dyDescent="0.3">
      <c r="A554" s="21">
        <v>45667</v>
      </c>
      <c r="B554" t="s">
        <v>29</v>
      </c>
      <c r="C554" t="s">
        <v>30</v>
      </c>
      <c r="D554">
        <v>2</v>
      </c>
      <c r="E554">
        <v>397</v>
      </c>
      <c r="F554">
        <v>794</v>
      </c>
      <c r="G554" t="s">
        <v>27</v>
      </c>
      <c r="H554">
        <v>2025</v>
      </c>
      <c r="I554" t="s">
        <v>1367</v>
      </c>
      <c r="J554" t="s">
        <v>1366</v>
      </c>
    </row>
    <row r="555" spans="1:10" x14ac:dyDescent="0.3">
      <c r="A555" s="21">
        <v>45667</v>
      </c>
      <c r="B555" t="s">
        <v>425</v>
      </c>
      <c r="C555" t="s">
        <v>14</v>
      </c>
      <c r="D555">
        <v>3</v>
      </c>
      <c r="E555">
        <v>706</v>
      </c>
      <c r="F555">
        <v>2118</v>
      </c>
      <c r="G555" t="s">
        <v>33</v>
      </c>
      <c r="H555">
        <v>2025</v>
      </c>
      <c r="I555" t="s">
        <v>1367</v>
      </c>
      <c r="J555" t="s">
        <v>1366</v>
      </c>
    </row>
    <row r="556" spans="1:10" x14ac:dyDescent="0.3">
      <c r="A556" s="21">
        <v>45669</v>
      </c>
      <c r="B556" t="s">
        <v>909</v>
      </c>
      <c r="C556" t="s">
        <v>68</v>
      </c>
      <c r="D556">
        <v>6</v>
      </c>
      <c r="E556">
        <v>281</v>
      </c>
      <c r="F556">
        <v>1686</v>
      </c>
      <c r="G556" t="s">
        <v>19</v>
      </c>
      <c r="H556">
        <v>2025</v>
      </c>
      <c r="I556" t="s">
        <v>1367</v>
      </c>
      <c r="J556" t="s">
        <v>1361</v>
      </c>
    </row>
    <row r="557" spans="1:10" x14ac:dyDescent="0.3">
      <c r="A557" s="21">
        <v>45669</v>
      </c>
      <c r="B557" t="s">
        <v>1114</v>
      </c>
      <c r="C557" t="s">
        <v>10</v>
      </c>
      <c r="D557">
        <v>6</v>
      </c>
      <c r="E557">
        <v>730</v>
      </c>
      <c r="F557">
        <v>4380</v>
      </c>
      <c r="G557" t="s">
        <v>11</v>
      </c>
      <c r="H557">
        <v>2025</v>
      </c>
      <c r="I557" t="s">
        <v>1367</v>
      </c>
      <c r="J557" t="s">
        <v>1361</v>
      </c>
    </row>
    <row r="558" spans="1:10" x14ac:dyDescent="0.3">
      <c r="A558" s="21">
        <v>45670</v>
      </c>
      <c r="B558" t="s">
        <v>282</v>
      </c>
      <c r="C558" t="s">
        <v>30</v>
      </c>
      <c r="D558">
        <v>5</v>
      </c>
      <c r="E558">
        <v>357</v>
      </c>
      <c r="F558">
        <v>1785</v>
      </c>
      <c r="G558" t="s">
        <v>7</v>
      </c>
      <c r="H558">
        <v>2025</v>
      </c>
      <c r="I558" t="s">
        <v>1367</v>
      </c>
      <c r="J558" t="s">
        <v>1363</v>
      </c>
    </row>
    <row r="559" spans="1:10" x14ac:dyDescent="0.3">
      <c r="A559" s="21">
        <v>45672</v>
      </c>
      <c r="B559" t="s">
        <v>220</v>
      </c>
      <c r="C559" t="s">
        <v>79</v>
      </c>
      <c r="D559">
        <v>4</v>
      </c>
      <c r="E559">
        <v>985</v>
      </c>
      <c r="F559">
        <v>3940</v>
      </c>
      <c r="G559" t="s">
        <v>15</v>
      </c>
      <c r="H559">
        <v>2025</v>
      </c>
      <c r="I559" t="s">
        <v>1367</v>
      </c>
      <c r="J559" t="s">
        <v>1358</v>
      </c>
    </row>
    <row r="560" spans="1:10" x14ac:dyDescent="0.3">
      <c r="A560" s="21">
        <v>45674</v>
      </c>
      <c r="B560" t="s">
        <v>747</v>
      </c>
      <c r="C560" t="s">
        <v>38</v>
      </c>
      <c r="D560">
        <v>5</v>
      </c>
      <c r="E560">
        <v>102</v>
      </c>
      <c r="F560">
        <v>510</v>
      </c>
      <c r="G560" t="s">
        <v>11</v>
      </c>
      <c r="H560">
        <v>2025</v>
      </c>
      <c r="I560" t="s">
        <v>1367</v>
      </c>
      <c r="J560" t="s">
        <v>1366</v>
      </c>
    </row>
    <row r="561" spans="1:10" x14ac:dyDescent="0.3">
      <c r="A561" s="21">
        <v>45675</v>
      </c>
      <c r="B561" t="s">
        <v>325</v>
      </c>
      <c r="C561" t="s">
        <v>24</v>
      </c>
      <c r="D561">
        <v>6</v>
      </c>
      <c r="E561">
        <v>614</v>
      </c>
      <c r="F561">
        <v>3684</v>
      </c>
      <c r="G561" t="s">
        <v>7</v>
      </c>
      <c r="H561">
        <v>2025</v>
      </c>
      <c r="I561" t="s">
        <v>1367</v>
      </c>
      <c r="J561" t="s">
        <v>1359</v>
      </c>
    </row>
    <row r="562" spans="1:10" x14ac:dyDescent="0.3">
      <c r="A562" s="21">
        <v>45676</v>
      </c>
      <c r="B562" t="s">
        <v>1305</v>
      </c>
      <c r="C562" t="s">
        <v>30</v>
      </c>
      <c r="D562">
        <v>4</v>
      </c>
      <c r="E562">
        <v>799</v>
      </c>
      <c r="F562">
        <v>3196</v>
      </c>
      <c r="G562" t="s">
        <v>19</v>
      </c>
      <c r="H562">
        <v>2025</v>
      </c>
      <c r="I562" t="s">
        <v>1367</v>
      </c>
      <c r="J562" t="s">
        <v>1361</v>
      </c>
    </row>
    <row r="563" spans="1:10" x14ac:dyDescent="0.3">
      <c r="A563" s="21">
        <v>45677</v>
      </c>
      <c r="B563" t="s">
        <v>850</v>
      </c>
      <c r="C563" t="s">
        <v>65</v>
      </c>
      <c r="D563">
        <v>1</v>
      </c>
      <c r="E563">
        <v>550</v>
      </c>
      <c r="F563">
        <v>550</v>
      </c>
      <c r="G563" t="s">
        <v>11</v>
      </c>
      <c r="H563">
        <v>2025</v>
      </c>
      <c r="I563" t="s">
        <v>1367</v>
      </c>
      <c r="J563" t="s">
        <v>1363</v>
      </c>
    </row>
    <row r="564" spans="1:10" x14ac:dyDescent="0.3">
      <c r="A564" s="21">
        <v>45678</v>
      </c>
      <c r="B564" t="s">
        <v>1320</v>
      </c>
      <c r="C564" t="s">
        <v>65</v>
      </c>
      <c r="D564">
        <v>3</v>
      </c>
      <c r="E564">
        <v>276</v>
      </c>
      <c r="F564">
        <v>828</v>
      </c>
      <c r="G564" t="s">
        <v>15</v>
      </c>
      <c r="H564">
        <v>2025</v>
      </c>
      <c r="I564" t="s">
        <v>1367</v>
      </c>
      <c r="J564" t="s">
        <v>1353</v>
      </c>
    </row>
    <row r="565" spans="1:10" x14ac:dyDescent="0.3">
      <c r="A565" s="21">
        <v>45681</v>
      </c>
      <c r="B565" t="s">
        <v>1316</v>
      </c>
      <c r="C565" t="s">
        <v>30</v>
      </c>
      <c r="D565">
        <v>1</v>
      </c>
      <c r="E565">
        <v>196</v>
      </c>
      <c r="F565">
        <v>196</v>
      </c>
      <c r="G565" t="s">
        <v>27</v>
      </c>
      <c r="H565">
        <v>2025</v>
      </c>
      <c r="I565" t="s">
        <v>1367</v>
      </c>
      <c r="J565" t="s">
        <v>1366</v>
      </c>
    </row>
    <row r="566" spans="1:10" x14ac:dyDescent="0.3">
      <c r="A566" s="21">
        <v>45681</v>
      </c>
      <c r="B566" t="s">
        <v>761</v>
      </c>
      <c r="C566" t="s">
        <v>68</v>
      </c>
      <c r="D566">
        <v>2</v>
      </c>
      <c r="E566">
        <v>891</v>
      </c>
      <c r="F566">
        <v>1782</v>
      </c>
      <c r="G566" t="s">
        <v>15</v>
      </c>
      <c r="H566">
        <v>2025</v>
      </c>
      <c r="I566" t="s">
        <v>1367</v>
      </c>
      <c r="J566" t="s">
        <v>1366</v>
      </c>
    </row>
    <row r="567" spans="1:10" x14ac:dyDescent="0.3">
      <c r="A567" s="21">
        <v>45682</v>
      </c>
      <c r="B567" t="s">
        <v>365</v>
      </c>
      <c r="C567" t="s">
        <v>18</v>
      </c>
      <c r="D567">
        <v>2</v>
      </c>
      <c r="E567">
        <v>746</v>
      </c>
      <c r="F567">
        <v>1492</v>
      </c>
      <c r="G567" t="s">
        <v>11</v>
      </c>
      <c r="H567">
        <v>2025</v>
      </c>
      <c r="I567" t="s">
        <v>1367</v>
      </c>
      <c r="J567" t="s">
        <v>1359</v>
      </c>
    </row>
    <row r="568" spans="1:10" x14ac:dyDescent="0.3">
      <c r="A568" s="21">
        <v>45684</v>
      </c>
      <c r="B568" t="s">
        <v>255</v>
      </c>
      <c r="C568" t="s">
        <v>10</v>
      </c>
      <c r="D568">
        <v>1</v>
      </c>
      <c r="E568">
        <v>226</v>
      </c>
      <c r="F568">
        <v>226</v>
      </c>
      <c r="G568" t="s">
        <v>27</v>
      </c>
      <c r="H568">
        <v>2025</v>
      </c>
      <c r="I568" t="s">
        <v>1367</v>
      </c>
      <c r="J568" t="s">
        <v>1363</v>
      </c>
    </row>
    <row r="569" spans="1:10" x14ac:dyDescent="0.3">
      <c r="A569" s="21">
        <v>45684</v>
      </c>
      <c r="B569" t="s">
        <v>1153</v>
      </c>
      <c r="C569" t="s">
        <v>6</v>
      </c>
      <c r="D569">
        <v>3</v>
      </c>
      <c r="E569">
        <v>260</v>
      </c>
      <c r="F569">
        <v>780</v>
      </c>
      <c r="G569" t="s">
        <v>11</v>
      </c>
      <c r="H569">
        <v>2025</v>
      </c>
      <c r="I569" t="s">
        <v>1367</v>
      </c>
      <c r="J569" t="s">
        <v>1363</v>
      </c>
    </row>
    <row r="570" spans="1:10" x14ac:dyDescent="0.3">
      <c r="A570" s="21">
        <v>45684</v>
      </c>
      <c r="B570" t="s">
        <v>316</v>
      </c>
      <c r="C570" t="s">
        <v>6</v>
      </c>
      <c r="D570">
        <v>3</v>
      </c>
      <c r="E570">
        <v>419</v>
      </c>
      <c r="F570">
        <v>1257</v>
      </c>
      <c r="G570" t="s">
        <v>11</v>
      </c>
      <c r="H570">
        <v>2025</v>
      </c>
      <c r="I570" t="s">
        <v>1367</v>
      </c>
      <c r="J570" t="s">
        <v>1363</v>
      </c>
    </row>
    <row r="571" spans="1:10" x14ac:dyDescent="0.3">
      <c r="A571" s="21">
        <v>45684</v>
      </c>
      <c r="B571" t="s">
        <v>954</v>
      </c>
      <c r="C571" t="s">
        <v>18</v>
      </c>
      <c r="D571">
        <v>3</v>
      </c>
      <c r="E571">
        <v>920</v>
      </c>
      <c r="F571">
        <v>2760</v>
      </c>
      <c r="G571" t="s">
        <v>11</v>
      </c>
      <c r="H571">
        <v>2025</v>
      </c>
      <c r="I571" t="s">
        <v>1367</v>
      </c>
      <c r="J571" t="s">
        <v>1363</v>
      </c>
    </row>
    <row r="572" spans="1:10" x14ac:dyDescent="0.3">
      <c r="A572" s="21">
        <v>45684</v>
      </c>
      <c r="B572" t="s">
        <v>1152</v>
      </c>
      <c r="C572" t="s">
        <v>6</v>
      </c>
      <c r="D572">
        <v>4</v>
      </c>
      <c r="E572">
        <v>746</v>
      </c>
      <c r="F572">
        <v>2984</v>
      </c>
      <c r="G572" t="s">
        <v>33</v>
      </c>
      <c r="H572">
        <v>2025</v>
      </c>
      <c r="I572" t="s">
        <v>1367</v>
      </c>
      <c r="J572" t="s">
        <v>1363</v>
      </c>
    </row>
    <row r="573" spans="1:10" x14ac:dyDescent="0.3">
      <c r="A573" s="21">
        <v>45685</v>
      </c>
      <c r="B573" t="s">
        <v>899</v>
      </c>
      <c r="C573" t="s">
        <v>38</v>
      </c>
      <c r="D573">
        <v>5</v>
      </c>
      <c r="E573">
        <v>295</v>
      </c>
      <c r="F573">
        <v>1475</v>
      </c>
      <c r="G573" t="s">
        <v>27</v>
      </c>
      <c r="H573">
        <v>2025</v>
      </c>
      <c r="I573" t="s">
        <v>1367</v>
      </c>
      <c r="J573" t="s">
        <v>1353</v>
      </c>
    </row>
    <row r="574" spans="1:10" x14ac:dyDescent="0.3">
      <c r="A574" s="21">
        <v>45685</v>
      </c>
      <c r="B574" t="s">
        <v>1212</v>
      </c>
      <c r="C574" t="s">
        <v>6</v>
      </c>
      <c r="D574">
        <v>4</v>
      </c>
      <c r="E574">
        <v>480</v>
      </c>
      <c r="F574">
        <v>1920</v>
      </c>
      <c r="G574" t="s">
        <v>27</v>
      </c>
      <c r="H574">
        <v>2025</v>
      </c>
      <c r="I574" t="s">
        <v>1367</v>
      </c>
      <c r="J574" t="s">
        <v>1353</v>
      </c>
    </row>
    <row r="575" spans="1:10" x14ac:dyDescent="0.3">
      <c r="A575" s="21">
        <v>45685</v>
      </c>
      <c r="B575" t="s">
        <v>517</v>
      </c>
      <c r="C575" t="s">
        <v>79</v>
      </c>
      <c r="D575">
        <v>5</v>
      </c>
      <c r="E575">
        <v>403</v>
      </c>
      <c r="F575">
        <v>2015</v>
      </c>
      <c r="G575" t="s">
        <v>11</v>
      </c>
      <c r="H575">
        <v>2025</v>
      </c>
      <c r="I575" t="s">
        <v>1367</v>
      </c>
      <c r="J575" t="s">
        <v>1353</v>
      </c>
    </row>
    <row r="576" spans="1:10" x14ac:dyDescent="0.3">
      <c r="A576" s="21">
        <v>45685</v>
      </c>
      <c r="B576" t="s">
        <v>290</v>
      </c>
      <c r="C576" t="s">
        <v>24</v>
      </c>
      <c r="D576">
        <v>3</v>
      </c>
      <c r="E576">
        <v>999</v>
      </c>
      <c r="F576">
        <v>2997</v>
      </c>
      <c r="G576" t="s">
        <v>27</v>
      </c>
      <c r="H576">
        <v>2025</v>
      </c>
      <c r="I576" t="s">
        <v>1367</v>
      </c>
      <c r="J576" t="s">
        <v>1353</v>
      </c>
    </row>
    <row r="577" spans="1:10" x14ac:dyDescent="0.3">
      <c r="A577" s="21">
        <v>45686</v>
      </c>
      <c r="B577" t="s">
        <v>794</v>
      </c>
      <c r="C577" t="s">
        <v>68</v>
      </c>
      <c r="D577">
        <v>1</v>
      </c>
      <c r="E577">
        <v>794</v>
      </c>
      <c r="F577">
        <v>794</v>
      </c>
      <c r="G577" t="s">
        <v>11</v>
      </c>
      <c r="H577">
        <v>2025</v>
      </c>
      <c r="I577" t="s">
        <v>1367</v>
      </c>
      <c r="J577" t="s">
        <v>1358</v>
      </c>
    </row>
    <row r="578" spans="1:10" x14ac:dyDescent="0.3">
      <c r="A578" s="21">
        <v>45687</v>
      </c>
      <c r="B578" t="s">
        <v>119</v>
      </c>
      <c r="C578" t="s">
        <v>68</v>
      </c>
      <c r="D578">
        <v>2</v>
      </c>
      <c r="E578">
        <v>331</v>
      </c>
      <c r="F578">
        <v>662</v>
      </c>
      <c r="G578" t="s">
        <v>19</v>
      </c>
      <c r="H578">
        <v>2025</v>
      </c>
      <c r="I578" t="s">
        <v>1367</v>
      </c>
      <c r="J578" t="s">
        <v>1356</v>
      </c>
    </row>
    <row r="579" spans="1:10" x14ac:dyDescent="0.3">
      <c r="A579" s="21">
        <v>45687</v>
      </c>
      <c r="B579" t="s">
        <v>320</v>
      </c>
      <c r="C579" t="s">
        <v>30</v>
      </c>
      <c r="D579">
        <v>2</v>
      </c>
      <c r="E579">
        <v>427</v>
      </c>
      <c r="F579">
        <v>854</v>
      </c>
      <c r="G579" t="s">
        <v>33</v>
      </c>
      <c r="H579">
        <v>2025</v>
      </c>
      <c r="I579" t="s">
        <v>1367</v>
      </c>
      <c r="J579" t="s">
        <v>1356</v>
      </c>
    </row>
    <row r="580" spans="1:10" x14ac:dyDescent="0.3">
      <c r="A580" s="21">
        <v>45688</v>
      </c>
      <c r="B580" t="s">
        <v>1130</v>
      </c>
      <c r="C580" t="s">
        <v>65</v>
      </c>
      <c r="D580">
        <v>4</v>
      </c>
      <c r="E580">
        <v>420</v>
      </c>
      <c r="F580">
        <v>1680</v>
      </c>
      <c r="G580" t="s">
        <v>15</v>
      </c>
      <c r="H580">
        <v>2025</v>
      </c>
      <c r="I580" t="s">
        <v>1367</v>
      </c>
      <c r="J580" t="s">
        <v>1366</v>
      </c>
    </row>
    <row r="581" spans="1:10" x14ac:dyDescent="0.3">
      <c r="A581" s="21">
        <v>45690</v>
      </c>
      <c r="B581" t="s">
        <v>1209</v>
      </c>
      <c r="C581" t="s">
        <v>24</v>
      </c>
      <c r="D581">
        <v>2</v>
      </c>
      <c r="E581">
        <v>706</v>
      </c>
      <c r="F581">
        <v>1412</v>
      </c>
      <c r="G581" t="s">
        <v>33</v>
      </c>
      <c r="H581">
        <v>2025</v>
      </c>
      <c r="I581" t="s">
        <v>1352</v>
      </c>
      <c r="J581" t="s">
        <v>1361</v>
      </c>
    </row>
    <row r="582" spans="1:10" x14ac:dyDescent="0.3">
      <c r="A582" s="21">
        <v>45690</v>
      </c>
      <c r="B582" t="s">
        <v>1169</v>
      </c>
      <c r="C582" t="s">
        <v>68</v>
      </c>
      <c r="D582">
        <v>5</v>
      </c>
      <c r="E582">
        <v>517</v>
      </c>
      <c r="F582">
        <v>2585</v>
      </c>
      <c r="G582" t="s">
        <v>15</v>
      </c>
      <c r="H582">
        <v>2025</v>
      </c>
      <c r="I582" t="s">
        <v>1352</v>
      </c>
      <c r="J582" t="s">
        <v>1361</v>
      </c>
    </row>
    <row r="583" spans="1:10" x14ac:dyDescent="0.3">
      <c r="A583" s="21">
        <v>45691</v>
      </c>
      <c r="B583" t="s">
        <v>109</v>
      </c>
      <c r="C583" t="s">
        <v>30</v>
      </c>
      <c r="D583">
        <v>1</v>
      </c>
      <c r="E583">
        <v>940</v>
      </c>
      <c r="F583">
        <v>940</v>
      </c>
      <c r="G583" t="s">
        <v>19</v>
      </c>
      <c r="H583">
        <v>2025</v>
      </c>
      <c r="I583" t="s">
        <v>1352</v>
      </c>
      <c r="J583" t="s">
        <v>1363</v>
      </c>
    </row>
    <row r="584" spans="1:10" x14ac:dyDescent="0.3">
      <c r="A584" s="21">
        <v>45691</v>
      </c>
      <c r="B584" t="s">
        <v>805</v>
      </c>
      <c r="C584" t="s">
        <v>24</v>
      </c>
      <c r="D584">
        <v>4</v>
      </c>
      <c r="E584">
        <v>539</v>
      </c>
      <c r="F584">
        <v>2156</v>
      </c>
      <c r="G584" t="s">
        <v>15</v>
      </c>
      <c r="H584">
        <v>2025</v>
      </c>
      <c r="I584" t="s">
        <v>1352</v>
      </c>
      <c r="J584" t="s">
        <v>1363</v>
      </c>
    </row>
    <row r="585" spans="1:10" x14ac:dyDescent="0.3">
      <c r="A585" s="21">
        <v>45692</v>
      </c>
      <c r="B585" t="s">
        <v>180</v>
      </c>
      <c r="C585" t="s">
        <v>10</v>
      </c>
      <c r="D585">
        <v>4</v>
      </c>
      <c r="E585">
        <v>745</v>
      </c>
      <c r="F585">
        <v>2980</v>
      </c>
      <c r="G585" t="s">
        <v>7</v>
      </c>
      <c r="H585">
        <v>2025</v>
      </c>
      <c r="I585" t="s">
        <v>1352</v>
      </c>
      <c r="J585" t="s">
        <v>1353</v>
      </c>
    </row>
    <row r="586" spans="1:10" x14ac:dyDescent="0.3">
      <c r="A586" s="21">
        <v>45693</v>
      </c>
      <c r="B586" t="s">
        <v>1325</v>
      </c>
      <c r="C586" t="s">
        <v>30</v>
      </c>
      <c r="D586">
        <v>5</v>
      </c>
      <c r="E586">
        <v>112</v>
      </c>
      <c r="F586">
        <v>560</v>
      </c>
      <c r="G586" t="s">
        <v>19</v>
      </c>
      <c r="H586">
        <v>2025</v>
      </c>
      <c r="I586" t="s">
        <v>1352</v>
      </c>
      <c r="J586" t="s">
        <v>1358</v>
      </c>
    </row>
    <row r="587" spans="1:10" x14ac:dyDescent="0.3">
      <c r="A587" s="21">
        <v>45695</v>
      </c>
      <c r="B587" t="s">
        <v>645</v>
      </c>
      <c r="C587" t="s">
        <v>24</v>
      </c>
      <c r="D587">
        <v>1</v>
      </c>
      <c r="E587">
        <v>171</v>
      </c>
      <c r="F587">
        <v>171</v>
      </c>
      <c r="G587" t="s">
        <v>7</v>
      </c>
      <c r="H587">
        <v>2025</v>
      </c>
      <c r="I587" t="s">
        <v>1352</v>
      </c>
      <c r="J587" t="s">
        <v>1366</v>
      </c>
    </row>
    <row r="588" spans="1:10" x14ac:dyDescent="0.3">
      <c r="A588" s="21">
        <v>45695</v>
      </c>
      <c r="B588" t="s">
        <v>1321</v>
      </c>
      <c r="C588" t="s">
        <v>65</v>
      </c>
      <c r="D588">
        <v>3</v>
      </c>
      <c r="E588">
        <v>473</v>
      </c>
      <c r="F588">
        <v>1419</v>
      </c>
      <c r="G588" t="s">
        <v>19</v>
      </c>
      <c r="H588">
        <v>2025</v>
      </c>
      <c r="I588" t="s">
        <v>1352</v>
      </c>
      <c r="J588" t="s">
        <v>1366</v>
      </c>
    </row>
    <row r="589" spans="1:10" x14ac:dyDescent="0.3">
      <c r="A589" s="21">
        <v>45697</v>
      </c>
      <c r="B589" t="s">
        <v>456</v>
      </c>
      <c r="C589" t="s">
        <v>38</v>
      </c>
      <c r="D589">
        <v>5</v>
      </c>
      <c r="E589">
        <v>96</v>
      </c>
      <c r="F589">
        <v>480</v>
      </c>
      <c r="G589" t="s">
        <v>7</v>
      </c>
      <c r="H589">
        <v>2025</v>
      </c>
      <c r="I589" t="s">
        <v>1352</v>
      </c>
      <c r="J589" t="s">
        <v>1361</v>
      </c>
    </row>
    <row r="590" spans="1:10" x14ac:dyDescent="0.3">
      <c r="A590" s="21">
        <v>45697</v>
      </c>
      <c r="B590" t="s">
        <v>409</v>
      </c>
      <c r="C590" t="s">
        <v>10</v>
      </c>
      <c r="D590">
        <v>3</v>
      </c>
      <c r="E590">
        <v>306</v>
      </c>
      <c r="F590">
        <v>918</v>
      </c>
      <c r="G590" t="s">
        <v>19</v>
      </c>
      <c r="H590">
        <v>2025</v>
      </c>
      <c r="I590" t="s">
        <v>1352</v>
      </c>
      <c r="J590" t="s">
        <v>1361</v>
      </c>
    </row>
    <row r="591" spans="1:10" x14ac:dyDescent="0.3">
      <c r="A591" s="21">
        <v>45697</v>
      </c>
      <c r="B591" t="s">
        <v>1309</v>
      </c>
      <c r="C591" t="s">
        <v>18</v>
      </c>
      <c r="D591">
        <v>2</v>
      </c>
      <c r="E591">
        <v>841</v>
      </c>
      <c r="F591">
        <v>1682</v>
      </c>
      <c r="G591" t="s">
        <v>33</v>
      </c>
      <c r="H591">
        <v>2025</v>
      </c>
      <c r="I591" t="s">
        <v>1352</v>
      </c>
      <c r="J591" t="s">
        <v>1361</v>
      </c>
    </row>
    <row r="592" spans="1:10" x14ac:dyDescent="0.3">
      <c r="A592" s="21">
        <v>45697</v>
      </c>
      <c r="B592" t="s">
        <v>852</v>
      </c>
      <c r="C592" t="s">
        <v>6</v>
      </c>
      <c r="D592">
        <v>4</v>
      </c>
      <c r="E592">
        <v>541</v>
      </c>
      <c r="F592">
        <v>2164</v>
      </c>
      <c r="G592" t="s">
        <v>19</v>
      </c>
      <c r="H592">
        <v>2025</v>
      </c>
      <c r="I592" t="s">
        <v>1352</v>
      </c>
      <c r="J592" t="s">
        <v>1361</v>
      </c>
    </row>
    <row r="593" spans="1:10" x14ac:dyDescent="0.3">
      <c r="A593" s="21">
        <v>45698</v>
      </c>
      <c r="B593" t="s">
        <v>683</v>
      </c>
      <c r="C593" t="s">
        <v>79</v>
      </c>
      <c r="D593">
        <v>1</v>
      </c>
      <c r="E593">
        <v>670</v>
      </c>
      <c r="F593">
        <v>670</v>
      </c>
      <c r="G593" t="s">
        <v>27</v>
      </c>
      <c r="H593">
        <v>2025</v>
      </c>
      <c r="I593" t="s">
        <v>1352</v>
      </c>
      <c r="J593" t="s">
        <v>1363</v>
      </c>
    </row>
    <row r="594" spans="1:10" x14ac:dyDescent="0.3">
      <c r="A594" s="21">
        <v>45699</v>
      </c>
      <c r="B594" t="s">
        <v>988</v>
      </c>
      <c r="C594" t="s">
        <v>6</v>
      </c>
      <c r="D594">
        <v>4</v>
      </c>
      <c r="E594">
        <v>341</v>
      </c>
      <c r="F594">
        <v>1364</v>
      </c>
      <c r="G594" t="s">
        <v>19</v>
      </c>
      <c r="H594">
        <v>2025</v>
      </c>
      <c r="I594" t="s">
        <v>1352</v>
      </c>
      <c r="J594" t="s">
        <v>1353</v>
      </c>
    </row>
    <row r="595" spans="1:10" x14ac:dyDescent="0.3">
      <c r="A595" s="21">
        <v>45700</v>
      </c>
      <c r="B595" t="s">
        <v>613</v>
      </c>
      <c r="C595" t="s">
        <v>6</v>
      </c>
      <c r="D595">
        <v>1</v>
      </c>
      <c r="E595">
        <v>424</v>
      </c>
      <c r="F595">
        <v>424</v>
      </c>
      <c r="G595" t="s">
        <v>27</v>
      </c>
      <c r="H595">
        <v>2025</v>
      </c>
      <c r="I595" t="s">
        <v>1352</v>
      </c>
      <c r="J595" t="s">
        <v>1358</v>
      </c>
    </row>
    <row r="596" spans="1:10" x14ac:dyDescent="0.3">
      <c r="A596" s="21">
        <v>45700</v>
      </c>
      <c r="B596" t="s">
        <v>487</v>
      </c>
      <c r="C596" t="s">
        <v>24</v>
      </c>
      <c r="D596">
        <v>2</v>
      </c>
      <c r="E596">
        <v>751</v>
      </c>
      <c r="F596">
        <v>1502</v>
      </c>
      <c r="G596" t="s">
        <v>19</v>
      </c>
      <c r="H596">
        <v>2025</v>
      </c>
      <c r="I596" t="s">
        <v>1352</v>
      </c>
      <c r="J596" t="s">
        <v>1358</v>
      </c>
    </row>
    <row r="597" spans="1:10" x14ac:dyDescent="0.3">
      <c r="A597" s="21">
        <v>45700</v>
      </c>
      <c r="B597" t="s">
        <v>264</v>
      </c>
      <c r="C597" t="s">
        <v>14</v>
      </c>
      <c r="D597">
        <v>4</v>
      </c>
      <c r="E597">
        <v>748</v>
      </c>
      <c r="F597">
        <v>2992</v>
      </c>
      <c r="G597" t="s">
        <v>33</v>
      </c>
      <c r="H597">
        <v>2025</v>
      </c>
      <c r="I597" t="s">
        <v>1352</v>
      </c>
      <c r="J597" t="s">
        <v>1358</v>
      </c>
    </row>
    <row r="598" spans="1:10" x14ac:dyDescent="0.3">
      <c r="A598" s="21">
        <v>45700</v>
      </c>
      <c r="B598" t="s">
        <v>474</v>
      </c>
      <c r="C598" t="s">
        <v>68</v>
      </c>
      <c r="D598">
        <v>4</v>
      </c>
      <c r="E598">
        <v>960</v>
      </c>
      <c r="F598">
        <v>3840</v>
      </c>
      <c r="G598" t="s">
        <v>19</v>
      </c>
      <c r="H598">
        <v>2025</v>
      </c>
      <c r="I598" t="s">
        <v>1352</v>
      </c>
      <c r="J598" t="s">
        <v>1358</v>
      </c>
    </row>
    <row r="599" spans="1:10" x14ac:dyDescent="0.3">
      <c r="A599" s="21">
        <v>45701</v>
      </c>
      <c r="B599" t="s">
        <v>1149</v>
      </c>
      <c r="C599" t="s">
        <v>14</v>
      </c>
      <c r="D599">
        <v>6</v>
      </c>
      <c r="E599">
        <v>582</v>
      </c>
      <c r="F599">
        <v>3492</v>
      </c>
      <c r="G599" t="s">
        <v>7</v>
      </c>
      <c r="H599">
        <v>2025</v>
      </c>
      <c r="I599" t="s">
        <v>1352</v>
      </c>
      <c r="J599" t="s">
        <v>1356</v>
      </c>
    </row>
    <row r="600" spans="1:10" x14ac:dyDescent="0.3">
      <c r="A600" s="21">
        <v>45701</v>
      </c>
      <c r="B600" t="s">
        <v>152</v>
      </c>
      <c r="C600" t="s">
        <v>79</v>
      </c>
      <c r="D600">
        <v>5</v>
      </c>
      <c r="E600">
        <v>744</v>
      </c>
      <c r="F600">
        <v>3720</v>
      </c>
      <c r="G600" t="s">
        <v>15</v>
      </c>
      <c r="H600">
        <v>2025</v>
      </c>
      <c r="I600" t="s">
        <v>1352</v>
      </c>
      <c r="J600" t="s">
        <v>1356</v>
      </c>
    </row>
    <row r="601" spans="1:10" x14ac:dyDescent="0.3">
      <c r="A601" s="21">
        <v>45704</v>
      </c>
      <c r="B601" t="s">
        <v>122</v>
      </c>
      <c r="C601" t="s">
        <v>68</v>
      </c>
      <c r="D601">
        <v>4</v>
      </c>
      <c r="E601">
        <v>860</v>
      </c>
      <c r="F601">
        <v>3440</v>
      </c>
      <c r="G601" t="s">
        <v>11</v>
      </c>
      <c r="H601">
        <v>2025</v>
      </c>
      <c r="I601" t="s">
        <v>1352</v>
      </c>
      <c r="J601" t="s">
        <v>1361</v>
      </c>
    </row>
    <row r="602" spans="1:10" x14ac:dyDescent="0.3">
      <c r="A602" s="21">
        <v>45705</v>
      </c>
      <c r="B602" t="s">
        <v>626</v>
      </c>
      <c r="C602" t="s">
        <v>79</v>
      </c>
      <c r="D602">
        <v>5</v>
      </c>
      <c r="E602">
        <v>616</v>
      </c>
      <c r="F602">
        <v>3080</v>
      </c>
      <c r="G602" t="s">
        <v>7</v>
      </c>
      <c r="H602">
        <v>2025</v>
      </c>
      <c r="I602" t="s">
        <v>1352</v>
      </c>
      <c r="J602" t="s">
        <v>1363</v>
      </c>
    </row>
    <row r="603" spans="1:10" x14ac:dyDescent="0.3">
      <c r="A603" s="21">
        <v>45706</v>
      </c>
      <c r="B603" t="s">
        <v>276</v>
      </c>
      <c r="C603" t="s">
        <v>30</v>
      </c>
      <c r="D603">
        <v>1</v>
      </c>
      <c r="E603">
        <v>605</v>
      </c>
      <c r="F603">
        <v>605</v>
      </c>
      <c r="G603" t="s">
        <v>15</v>
      </c>
      <c r="H603">
        <v>2025</v>
      </c>
      <c r="I603" t="s">
        <v>1352</v>
      </c>
      <c r="J603" t="s">
        <v>1353</v>
      </c>
    </row>
    <row r="604" spans="1:10" x14ac:dyDescent="0.3">
      <c r="A604" s="21">
        <v>45706</v>
      </c>
      <c r="B604" t="s">
        <v>272</v>
      </c>
      <c r="C604" t="s">
        <v>14</v>
      </c>
      <c r="D604">
        <v>2</v>
      </c>
      <c r="E604">
        <v>776</v>
      </c>
      <c r="F604">
        <v>1552</v>
      </c>
      <c r="G604" t="s">
        <v>27</v>
      </c>
      <c r="H604">
        <v>2025</v>
      </c>
      <c r="I604" t="s">
        <v>1352</v>
      </c>
      <c r="J604" t="s">
        <v>1353</v>
      </c>
    </row>
    <row r="605" spans="1:10" x14ac:dyDescent="0.3">
      <c r="A605" s="21">
        <v>45707</v>
      </c>
      <c r="B605" t="s">
        <v>1106</v>
      </c>
      <c r="C605" t="s">
        <v>68</v>
      </c>
      <c r="D605">
        <v>1</v>
      </c>
      <c r="E605">
        <v>475</v>
      </c>
      <c r="F605">
        <v>475</v>
      </c>
      <c r="G605" t="s">
        <v>15</v>
      </c>
      <c r="H605">
        <v>2025</v>
      </c>
      <c r="I605" t="s">
        <v>1352</v>
      </c>
      <c r="J605" t="s">
        <v>1358</v>
      </c>
    </row>
    <row r="606" spans="1:10" x14ac:dyDescent="0.3">
      <c r="A606" s="21">
        <v>45707</v>
      </c>
      <c r="B606" t="s">
        <v>84</v>
      </c>
      <c r="C606" t="s">
        <v>18</v>
      </c>
      <c r="D606">
        <v>6</v>
      </c>
      <c r="E606">
        <v>352</v>
      </c>
      <c r="F606">
        <v>2112</v>
      </c>
      <c r="G606" t="s">
        <v>27</v>
      </c>
      <c r="H606">
        <v>2025</v>
      </c>
      <c r="I606" t="s">
        <v>1352</v>
      </c>
      <c r="J606" t="s">
        <v>1358</v>
      </c>
    </row>
    <row r="607" spans="1:10" x14ac:dyDescent="0.3">
      <c r="A607" s="21">
        <v>45708</v>
      </c>
      <c r="B607" t="s">
        <v>1037</v>
      </c>
      <c r="C607" t="s">
        <v>79</v>
      </c>
      <c r="D607">
        <v>6</v>
      </c>
      <c r="E607">
        <v>138</v>
      </c>
      <c r="F607">
        <v>828</v>
      </c>
      <c r="G607" t="s">
        <v>7</v>
      </c>
      <c r="H607">
        <v>2025</v>
      </c>
      <c r="I607" t="s">
        <v>1352</v>
      </c>
      <c r="J607" t="s">
        <v>1356</v>
      </c>
    </row>
    <row r="608" spans="1:10" x14ac:dyDescent="0.3">
      <c r="A608" s="21">
        <v>45708</v>
      </c>
      <c r="B608" t="s">
        <v>1038</v>
      </c>
      <c r="C608" t="s">
        <v>79</v>
      </c>
      <c r="D608">
        <v>6</v>
      </c>
      <c r="E608">
        <v>460</v>
      </c>
      <c r="F608">
        <v>2760</v>
      </c>
      <c r="G608" t="s">
        <v>19</v>
      </c>
      <c r="H608">
        <v>2025</v>
      </c>
      <c r="I608" t="s">
        <v>1352</v>
      </c>
      <c r="J608" t="s">
        <v>1356</v>
      </c>
    </row>
    <row r="609" spans="1:10" x14ac:dyDescent="0.3">
      <c r="A609" s="21">
        <v>45708</v>
      </c>
      <c r="B609" t="s">
        <v>891</v>
      </c>
      <c r="C609" t="s">
        <v>18</v>
      </c>
      <c r="D609">
        <v>6</v>
      </c>
      <c r="E609">
        <v>762</v>
      </c>
      <c r="F609">
        <v>4572</v>
      </c>
      <c r="G609" t="s">
        <v>19</v>
      </c>
      <c r="H609">
        <v>2025</v>
      </c>
      <c r="I609" t="s">
        <v>1352</v>
      </c>
      <c r="J609" t="s">
        <v>1356</v>
      </c>
    </row>
    <row r="610" spans="1:10" x14ac:dyDescent="0.3">
      <c r="A610" s="21">
        <v>45710</v>
      </c>
      <c r="B610" t="s">
        <v>375</v>
      </c>
      <c r="C610" t="s">
        <v>6</v>
      </c>
      <c r="D610">
        <v>3</v>
      </c>
      <c r="E610">
        <v>614</v>
      </c>
      <c r="F610">
        <v>1842</v>
      </c>
      <c r="G610" t="s">
        <v>27</v>
      </c>
      <c r="H610">
        <v>2025</v>
      </c>
      <c r="I610" t="s">
        <v>1352</v>
      </c>
      <c r="J610" t="s">
        <v>1359</v>
      </c>
    </row>
    <row r="611" spans="1:10" x14ac:dyDescent="0.3">
      <c r="A611" s="21">
        <v>45711</v>
      </c>
      <c r="B611" t="s">
        <v>832</v>
      </c>
      <c r="C611" t="s">
        <v>30</v>
      </c>
      <c r="D611">
        <v>3</v>
      </c>
      <c r="E611">
        <v>545</v>
      </c>
      <c r="F611">
        <v>1635</v>
      </c>
      <c r="G611" t="s">
        <v>11</v>
      </c>
      <c r="H611">
        <v>2025</v>
      </c>
      <c r="I611" t="s">
        <v>1352</v>
      </c>
      <c r="J611" t="s">
        <v>1361</v>
      </c>
    </row>
    <row r="612" spans="1:10" x14ac:dyDescent="0.3">
      <c r="A612" s="21">
        <v>45712</v>
      </c>
      <c r="B612" t="s">
        <v>334</v>
      </c>
      <c r="C612" t="s">
        <v>68</v>
      </c>
      <c r="D612">
        <v>6</v>
      </c>
      <c r="E612">
        <v>117</v>
      </c>
      <c r="F612">
        <v>702</v>
      </c>
      <c r="G612" t="s">
        <v>7</v>
      </c>
      <c r="H612">
        <v>2025</v>
      </c>
      <c r="I612" t="s">
        <v>1352</v>
      </c>
      <c r="J612" t="s">
        <v>1363</v>
      </c>
    </row>
    <row r="613" spans="1:10" x14ac:dyDescent="0.3">
      <c r="A613" s="21">
        <v>45713</v>
      </c>
      <c r="B613" t="s">
        <v>1326</v>
      </c>
      <c r="C613" t="s">
        <v>24</v>
      </c>
      <c r="D613">
        <v>4</v>
      </c>
      <c r="E613">
        <v>620</v>
      </c>
      <c r="F613">
        <v>2480</v>
      </c>
      <c r="G613" t="s">
        <v>19</v>
      </c>
      <c r="H613">
        <v>2025</v>
      </c>
      <c r="I613" t="s">
        <v>1352</v>
      </c>
      <c r="J613" t="s">
        <v>1353</v>
      </c>
    </row>
    <row r="614" spans="1:10" x14ac:dyDescent="0.3">
      <c r="A614" s="21">
        <v>45714</v>
      </c>
      <c r="B614" t="s">
        <v>423</v>
      </c>
      <c r="C614" t="s">
        <v>38</v>
      </c>
      <c r="D614">
        <v>5</v>
      </c>
      <c r="E614">
        <v>145</v>
      </c>
      <c r="F614">
        <v>725</v>
      </c>
      <c r="G614" t="s">
        <v>33</v>
      </c>
      <c r="H614">
        <v>2025</v>
      </c>
      <c r="I614" t="s">
        <v>1352</v>
      </c>
      <c r="J614" t="s">
        <v>1358</v>
      </c>
    </row>
    <row r="615" spans="1:10" x14ac:dyDescent="0.3">
      <c r="A615" s="21">
        <v>45714</v>
      </c>
      <c r="B615" t="s">
        <v>799</v>
      </c>
      <c r="C615" t="s">
        <v>18</v>
      </c>
      <c r="D615">
        <v>5</v>
      </c>
      <c r="E615">
        <v>581</v>
      </c>
      <c r="F615">
        <v>2905</v>
      </c>
      <c r="G615" t="s">
        <v>15</v>
      </c>
      <c r="H615">
        <v>2025</v>
      </c>
      <c r="I615" t="s">
        <v>1352</v>
      </c>
      <c r="J615" t="s">
        <v>1358</v>
      </c>
    </row>
    <row r="616" spans="1:10" x14ac:dyDescent="0.3">
      <c r="A616" s="21">
        <v>45715</v>
      </c>
      <c r="B616" t="s">
        <v>318</v>
      </c>
      <c r="C616" t="s">
        <v>65</v>
      </c>
      <c r="D616">
        <v>2</v>
      </c>
      <c r="E616">
        <v>617</v>
      </c>
      <c r="F616">
        <v>1234</v>
      </c>
      <c r="G616" t="s">
        <v>15</v>
      </c>
      <c r="H616">
        <v>2025</v>
      </c>
      <c r="I616" t="s">
        <v>1352</v>
      </c>
      <c r="J616" t="s">
        <v>1356</v>
      </c>
    </row>
    <row r="617" spans="1:10" x14ac:dyDescent="0.3">
      <c r="A617" s="21">
        <v>45715</v>
      </c>
      <c r="B617" t="s">
        <v>1211</v>
      </c>
      <c r="C617" t="s">
        <v>24</v>
      </c>
      <c r="D617">
        <v>3</v>
      </c>
      <c r="E617">
        <v>711</v>
      </c>
      <c r="F617">
        <v>2133</v>
      </c>
      <c r="G617" t="s">
        <v>27</v>
      </c>
      <c r="H617">
        <v>2025</v>
      </c>
      <c r="I617" t="s">
        <v>1352</v>
      </c>
      <c r="J617" t="s">
        <v>1356</v>
      </c>
    </row>
    <row r="618" spans="1:10" x14ac:dyDescent="0.3">
      <c r="A618" s="21">
        <v>45718</v>
      </c>
      <c r="B618" t="s">
        <v>1087</v>
      </c>
      <c r="C618" t="s">
        <v>14</v>
      </c>
      <c r="D618">
        <v>1</v>
      </c>
      <c r="E618">
        <v>368</v>
      </c>
      <c r="F618">
        <v>368</v>
      </c>
      <c r="G618" t="s">
        <v>19</v>
      </c>
      <c r="H618">
        <v>2025</v>
      </c>
      <c r="I618" t="s">
        <v>1354</v>
      </c>
      <c r="J618" t="s">
        <v>1361</v>
      </c>
    </row>
    <row r="619" spans="1:10" x14ac:dyDescent="0.3">
      <c r="A619" s="21">
        <v>45718</v>
      </c>
      <c r="B619" t="s">
        <v>544</v>
      </c>
      <c r="C619" t="s">
        <v>24</v>
      </c>
      <c r="D619">
        <v>3</v>
      </c>
      <c r="E619">
        <v>478</v>
      </c>
      <c r="F619">
        <v>1434</v>
      </c>
      <c r="G619" t="s">
        <v>27</v>
      </c>
      <c r="H619">
        <v>2025</v>
      </c>
      <c r="I619" t="s">
        <v>1354</v>
      </c>
      <c r="J619" t="s">
        <v>1361</v>
      </c>
    </row>
    <row r="620" spans="1:10" x14ac:dyDescent="0.3">
      <c r="A620" s="21">
        <v>45718</v>
      </c>
      <c r="B620" t="s">
        <v>1086</v>
      </c>
      <c r="C620" t="s">
        <v>65</v>
      </c>
      <c r="D620">
        <v>5</v>
      </c>
      <c r="E620">
        <v>838</v>
      </c>
      <c r="F620">
        <v>4190</v>
      </c>
      <c r="G620" t="s">
        <v>7</v>
      </c>
      <c r="H620">
        <v>2025</v>
      </c>
      <c r="I620" t="s">
        <v>1354</v>
      </c>
      <c r="J620" t="s">
        <v>1361</v>
      </c>
    </row>
    <row r="621" spans="1:10" x14ac:dyDescent="0.3">
      <c r="A621" s="21">
        <v>45720</v>
      </c>
      <c r="B621" t="s">
        <v>291</v>
      </c>
      <c r="C621" t="s">
        <v>30</v>
      </c>
      <c r="D621">
        <v>1</v>
      </c>
      <c r="E621">
        <v>767</v>
      </c>
      <c r="F621">
        <v>767</v>
      </c>
      <c r="G621" t="s">
        <v>27</v>
      </c>
      <c r="H621">
        <v>2025</v>
      </c>
      <c r="I621" t="s">
        <v>1354</v>
      </c>
      <c r="J621" t="s">
        <v>1353</v>
      </c>
    </row>
    <row r="622" spans="1:10" x14ac:dyDescent="0.3">
      <c r="A622" s="21">
        <v>45720</v>
      </c>
      <c r="B622" t="s">
        <v>292</v>
      </c>
      <c r="C622" t="s">
        <v>30</v>
      </c>
      <c r="D622">
        <v>6</v>
      </c>
      <c r="E622">
        <v>703</v>
      </c>
      <c r="F622">
        <v>4218</v>
      </c>
      <c r="G622" t="s">
        <v>27</v>
      </c>
      <c r="H622">
        <v>2025</v>
      </c>
      <c r="I622" t="s">
        <v>1354</v>
      </c>
      <c r="J622" t="s">
        <v>1353</v>
      </c>
    </row>
    <row r="623" spans="1:10" x14ac:dyDescent="0.3">
      <c r="A623" s="21">
        <v>45721</v>
      </c>
      <c r="B623" t="s">
        <v>1174</v>
      </c>
      <c r="C623" t="s">
        <v>18</v>
      </c>
      <c r="D623">
        <v>3</v>
      </c>
      <c r="E623">
        <v>738</v>
      </c>
      <c r="F623">
        <v>2214</v>
      </c>
      <c r="G623" t="s">
        <v>15</v>
      </c>
      <c r="H623">
        <v>2025</v>
      </c>
      <c r="I623" t="s">
        <v>1354</v>
      </c>
      <c r="J623" t="s">
        <v>1358</v>
      </c>
    </row>
    <row r="624" spans="1:10" x14ac:dyDescent="0.3">
      <c r="A624" s="21">
        <v>45724</v>
      </c>
      <c r="B624" t="s">
        <v>856</v>
      </c>
      <c r="C624" t="s">
        <v>79</v>
      </c>
      <c r="D624">
        <v>2</v>
      </c>
      <c r="E624">
        <v>788</v>
      </c>
      <c r="F624">
        <v>1576</v>
      </c>
      <c r="G624" t="s">
        <v>33</v>
      </c>
      <c r="H624">
        <v>2025</v>
      </c>
      <c r="I624" t="s">
        <v>1354</v>
      </c>
      <c r="J624" t="s">
        <v>1359</v>
      </c>
    </row>
    <row r="625" spans="1:10" x14ac:dyDescent="0.3">
      <c r="A625" s="21">
        <v>45724</v>
      </c>
      <c r="B625" t="s">
        <v>1077</v>
      </c>
      <c r="C625" t="s">
        <v>30</v>
      </c>
      <c r="D625">
        <v>6</v>
      </c>
      <c r="E625">
        <v>465</v>
      </c>
      <c r="F625">
        <v>2790</v>
      </c>
      <c r="G625" t="s">
        <v>33</v>
      </c>
      <c r="H625">
        <v>2025</v>
      </c>
      <c r="I625" t="s">
        <v>1354</v>
      </c>
      <c r="J625" t="s">
        <v>1359</v>
      </c>
    </row>
    <row r="626" spans="1:10" x14ac:dyDescent="0.3">
      <c r="A626" s="21">
        <v>45725</v>
      </c>
      <c r="B626" t="s">
        <v>466</v>
      </c>
      <c r="C626" t="s">
        <v>65</v>
      </c>
      <c r="D626">
        <v>5</v>
      </c>
      <c r="E626">
        <v>635</v>
      </c>
      <c r="F626">
        <v>3175</v>
      </c>
      <c r="G626" t="s">
        <v>33</v>
      </c>
      <c r="H626">
        <v>2025</v>
      </c>
      <c r="I626" t="s">
        <v>1354</v>
      </c>
      <c r="J626" t="s">
        <v>1361</v>
      </c>
    </row>
    <row r="627" spans="1:10" x14ac:dyDescent="0.3">
      <c r="A627" s="21">
        <v>45726</v>
      </c>
      <c r="B627" t="s">
        <v>1266</v>
      </c>
      <c r="C627" t="s">
        <v>38</v>
      </c>
      <c r="D627">
        <v>6</v>
      </c>
      <c r="E627">
        <v>82</v>
      </c>
      <c r="F627">
        <v>492</v>
      </c>
      <c r="G627" t="s">
        <v>11</v>
      </c>
      <c r="H627">
        <v>2025</v>
      </c>
      <c r="I627" t="s">
        <v>1354</v>
      </c>
      <c r="J627" t="s">
        <v>1363</v>
      </c>
    </row>
    <row r="628" spans="1:10" x14ac:dyDescent="0.3">
      <c r="A628" s="21">
        <v>45726</v>
      </c>
      <c r="B628" t="s">
        <v>1265</v>
      </c>
      <c r="C628" t="s">
        <v>79</v>
      </c>
      <c r="D628">
        <v>6</v>
      </c>
      <c r="E628">
        <v>165</v>
      </c>
      <c r="F628">
        <v>990</v>
      </c>
      <c r="G628" t="s">
        <v>7</v>
      </c>
      <c r="H628">
        <v>2025</v>
      </c>
      <c r="I628" t="s">
        <v>1354</v>
      </c>
      <c r="J628" t="s">
        <v>1363</v>
      </c>
    </row>
    <row r="629" spans="1:10" x14ac:dyDescent="0.3">
      <c r="A629" s="21">
        <v>45727</v>
      </c>
      <c r="B629" t="s">
        <v>1207</v>
      </c>
      <c r="C629" t="s">
        <v>30</v>
      </c>
      <c r="D629">
        <v>3</v>
      </c>
      <c r="E629">
        <v>188</v>
      </c>
      <c r="F629">
        <v>564</v>
      </c>
      <c r="G629" t="s">
        <v>11</v>
      </c>
      <c r="H629">
        <v>2025</v>
      </c>
      <c r="I629" t="s">
        <v>1354</v>
      </c>
      <c r="J629" t="s">
        <v>1353</v>
      </c>
    </row>
    <row r="630" spans="1:10" x14ac:dyDescent="0.3">
      <c r="A630" s="21">
        <v>45727</v>
      </c>
      <c r="B630" t="s">
        <v>1317</v>
      </c>
      <c r="C630" t="s">
        <v>14</v>
      </c>
      <c r="D630">
        <v>2</v>
      </c>
      <c r="E630">
        <v>726</v>
      </c>
      <c r="F630">
        <v>1452</v>
      </c>
      <c r="G630" t="s">
        <v>19</v>
      </c>
      <c r="H630">
        <v>2025</v>
      </c>
      <c r="I630" t="s">
        <v>1354</v>
      </c>
      <c r="J630" t="s">
        <v>1353</v>
      </c>
    </row>
    <row r="631" spans="1:10" x14ac:dyDescent="0.3">
      <c r="A631" s="21">
        <v>45727</v>
      </c>
      <c r="B631" t="s">
        <v>1026</v>
      </c>
      <c r="C631" t="s">
        <v>18</v>
      </c>
      <c r="D631">
        <v>5</v>
      </c>
      <c r="E631">
        <v>825</v>
      </c>
      <c r="F631">
        <v>4125</v>
      </c>
      <c r="G631" t="s">
        <v>27</v>
      </c>
      <c r="H631">
        <v>2025</v>
      </c>
      <c r="I631" t="s">
        <v>1354</v>
      </c>
      <c r="J631" t="s">
        <v>1353</v>
      </c>
    </row>
    <row r="632" spans="1:10" x14ac:dyDescent="0.3">
      <c r="A632" s="21">
        <v>45728</v>
      </c>
      <c r="B632" t="s">
        <v>464</v>
      </c>
      <c r="C632" t="s">
        <v>38</v>
      </c>
      <c r="D632">
        <v>6</v>
      </c>
      <c r="E632">
        <v>265</v>
      </c>
      <c r="F632">
        <v>1590</v>
      </c>
      <c r="G632" t="s">
        <v>27</v>
      </c>
      <c r="H632">
        <v>2025</v>
      </c>
      <c r="I632" t="s">
        <v>1354</v>
      </c>
      <c r="J632" t="s">
        <v>1358</v>
      </c>
    </row>
    <row r="633" spans="1:10" x14ac:dyDescent="0.3">
      <c r="A633" s="21">
        <v>45729</v>
      </c>
      <c r="B633" t="s">
        <v>1179</v>
      </c>
      <c r="C633" t="s">
        <v>24</v>
      </c>
      <c r="D633">
        <v>4</v>
      </c>
      <c r="E633">
        <v>72</v>
      </c>
      <c r="F633">
        <v>288</v>
      </c>
      <c r="G633" t="s">
        <v>19</v>
      </c>
      <c r="H633">
        <v>2025</v>
      </c>
      <c r="I633" t="s">
        <v>1354</v>
      </c>
      <c r="J633" t="s">
        <v>1356</v>
      </c>
    </row>
    <row r="634" spans="1:10" x14ac:dyDescent="0.3">
      <c r="A634" s="21">
        <v>45729</v>
      </c>
      <c r="B634" t="s">
        <v>718</v>
      </c>
      <c r="C634" t="s">
        <v>10</v>
      </c>
      <c r="D634">
        <v>5</v>
      </c>
      <c r="E634">
        <v>389</v>
      </c>
      <c r="F634">
        <v>1945</v>
      </c>
      <c r="G634" t="s">
        <v>7</v>
      </c>
      <c r="H634">
        <v>2025</v>
      </c>
      <c r="I634" t="s">
        <v>1354</v>
      </c>
      <c r="J634" t="s">
        <v>1356</v>
      </c>
    </row>
    <row r="635" spans="1:10" x14ac:dyDescent="0.3">
      <c r="A635" s="21">
        <v>45729</v>
      </c>
      <c r="B635" t="s">
        <v>1089</v>
      </c>
      <c r="C635" t="s">
        <v>18</v>
      </c>
      <c r="D635">
        <v>4</v>
      </c>
      <c r="E635">
        <v>704</v>
      </c>
      <c r="F635">
        <v>2816</v>
      </c>
      <c r="G635" t="s">
        <v>33</v>
      </c>
      <c r="H635">
        <v>2025</v>
      </c>
      <c r="I635" t="s">
        <v>1354</v>
      </c>
      <c r="J635" t="s">
        <v>1356</v>
      </c>
    </row>
    <row r="636" spans="1:10" x14ac:dyDescent="0.3">
      <c r="A636" s="21">
        <v>45729</v>
      </c>
      <c r="B636" t="s">
        <v>1272</v>
      </c>
      <c r="C636" t="s">
        <v>65</v>
      </c>
      <c r="D636">
        <v>5</v>
      </c>
      <c r="E636">
        <v>954</v>
      </c>
      <c r="F636">
        <v>4770</v>
      </c>
      <c r="G636" t="s">
        <v>15</v>
      </c>
      <c r="H636">
        <v>2025</v>
      </c>
      <c r="I636" t="s">
        <v>1354</v>
      </c>
      <c r="J636" t="s">
        <v>1356</v>
      </c>
    </row>
    <row r="637" spans="1:10" x14ac:dyDescent="0.3">
      <c r="A637" s="21">
        <v>45730</v>
      </c>
      <c r="B637" t="s">
        <v>392</v>
      </c>
      <c r="C637" t="s">
        <v>65</v>
      </c>
      <c r="D637">
        <v>3</v>
      </c>
      <c r="E637">
        <v>361</v>
      </c>
      <c r="F637">
        <v>1083</v>
      </c>
      <c r="G637" t="s">
        <v>11</v>
      </c>
      <c r="H637">
        <v>2025</v>
      </c>
      <c r="I637" t="s">
        <v>1354</v>
      </c>
      <c r="J637" t="s">
        <v>1366</v>
      </c>
    </row>
    <row r="638" spans="1:10" x14ac:dyDescent="0.3">
      <c r="A638" s="21">
        <v>45730</v>
      </c>
      <c r="B638" t="s">
        <v>258</v>
      </c>
      <c r="C638" t="s">
        <v>30</v>
      </c>
      <c r="D638">
        <v>3</v>
      </c>
      <c r="E638">
        <v>780</v>
      </c>
      <c r="F638">
        <v>2340</v>
      </c>
      <c r="G638" t="s">
        <v>33</v>
      </c>
      <c r="H638">
        <v>2025</v>
      </c>
      <c r="I638" t="s">
        <v>1354</v>
      </c>
      <c r="J638" t="s">
        <v>1366</v>
      </c>
    </row>
    <row r="639" spans="1:10" x14ac:dyDescent="0.3">
      <c r="A639" s="21">
        <v>45731</v>
      </c>
      <c r="B639" t="s">
        <v>311</v>
      </c>
      <c r="C639" t="s">
        <v>18</v>
      </c>
      <c r="D639">
        <v>3</v>
      </c>
      <c r="E639">
        <v>859</v>
      </c>
      <c r="F639">
        <v>2577</v>
      </c>
      <c r="G639" t="s">
        <v>19</v>
      </c>
      <c r="H639">
        <v>2025</v>
      </c>
      <c r="I639" t="s">
        <v>1354</v>
      </c>
      <c r="J639" t="s">
        <v>1359</v>
      </c>
    </row>
    <row r="640" spans="1:10" x14ac:dyDescent="0.3">
      <c r="A640" s="21">
        <v>45733</v>
      </c>
      <c r="B640" t="s">
        <v>795</v>
      </c>
      <c r="C640" t="s">
        <v>65</v>
      </c>
      <c r="D640">
        <v>1</v>
      </c>
      <c r="E640">
        <v>113</v>
      </c>
      <c r="F640">
        <v>113</v>
      </c>
      <c r="G640" t="s">
        <v>27</v>
      </c>
      <c r="H640">
        <v>2025</v>
      </c>
      <c r="I640" t="s">
        <v>1354</v>
      </c>
      <c r="J640" t="s">
        <v>1363</v>
      </c>
    </row>
    <row r="641" spans="1:10" x14ac:dyDescent="0.3">
      <c r="A641" s="21">
        <v>45734</v>
      </c>
      <c r="B641" t="s">
        <v>178</v>
      </c>
      <c r="C641" t="s">
        <v>18</v>
      </c>
      <c r="D641">
        <v>1</v>
      </c>
      <c r="E641">
        <v>207</v>
      </c>
      <c r="F641">
        <v>207</v>
      </c>
      <c r="G641" t="s">
        <v>33</v>
      </c>
      <c r="H641">
        <v>2025</v>
      </c>
      <c r="I641" t="s">
        <v>1354</v>
      </c>
      <c r="J641" t="s">
        <v>1353</v>
      </c>
    </row>
    <row r="642" spans="1:10" x14ac:dyDescent="0.3">
      <c r="A642" s="21">
        <v>45734</v>
      </c>
      <c r="B642" t="s">
        <v>1220</v>
      </c>
      <c r="C642" t="s">
        <v>6</v>
      </c>
      <c r="D642">
        <v>1</v>
      </c>
      <c r="E642">
        <v>436</v>
      </c>
      <c r="F642">
        <v>436</v>
      </c>
      <c r="G642" t="s">
        <v>33</v>
      </c>
      <c r="H642">
        <v>2025</v>
      </c>
      <c r="I642" t="s">
        <v>1354</v>
      </c>
      <c r="J642" t="s">
        <v>1353</v>
      </c>
    </row>
    <row r="643" spans="1:10" x14ac:dyDescent="0.3">
      <c r="A643" s="21">
        <v>45734</v>
      </c>
      <c r="B643" t="s">
        <v>859</v>
      </c>
      <c r="C643" t="s">
        <v>24</v>
      </c>
      <c r="D643">
        <v>6</v>
      </c>
      <c r="E643">
        <v>174</v>
      </c>
      <c r="F643">
        <v>1044</v>
      </c>
      <c r="G643" t="s">
        <v>19</v>
      </c>
      <c r="H643">
        <v>2025</v>
      </c>
      <c r="I643" t="s">
        <v>1354</v>
      </c>
      <c r="J643" t="s">
        <v>1353</v>
      </c>
    </row>
    <row r="644" spans="1:10" x14ac:dyDescent="0.3">
      <c r="A644" s="21">
        <v>45734</v>
      </c>
      <c r="B644" t="s">
        <v>1262</v>
      </c>
      <c r="C644" t="s">
        <v>79</v>
      </c>
      <c r="D644">
        <v>5</v>
      </c>
      <c r="E644">
        <v>946</v>
      </c>
      <c r="F644">
        <v>4730</v>
      </c>
      <c r="G644" t="s">
        <v>15</v>
      </c>
      <c r="H644">
        <v>2025</v>
      </c>
      <c r="I644" t="s">
        <v>1354</v>
      </c>
      <c r="J644" t="s">
        <v>1353</v>
      </c>
    </row>
    <row r="645" spans="1:10" x14ac:dyDescent="0.3">
      <c r="A645" s="21">
        <v>45735</v>
      </c>
      <c r="B645" t="s">
        <v>757</v>
      </c>
      <c r="C645" t="s">
        <v>14</v>
      </c>
      <c r="D645">
        <v>3</v>
      </c>
      <c r="E645">
        <v>843</v>
      </c>
      <c r="F645">
        <v>2529</v>
      </c>
      <c r="G645" t="s">
        <v>11</v>
      </c>
      <c r="H645">
        <v>2025</v>
      </c>
      <c r="I645" t="s">
        <v>1354</v>
      </c>
      <c r="J645" t="s">
        <v>1358</v>
      </c>
    </row>
    <row r="646" spans="1:10" x14ac:dyDescent="0.3">
      <c r="A646" s="21">
        <v>45736</v>
      </c>
      <c r="B646" t="s">
        <v>1126</v>
      </c>
      <c r="C646" t="s">
        <v>10</v>
      </c>
      <c r="D646">
        <v>2</v>
      </c>
      <c r="E646">
        <v>588</v>
      </c>
      <c r="F646">
        <v>1176</v>
      </c>
      <c r="G646" t="s">
        <v>19</v>
      </c>
      <c r="H646">
        <v>2025</v>
      </c>
      <c r="I646" t="s">
        <v>1354</v>
      </c>
      <c r="J646" t="s">
        <v>1356</v>
      </c>
    </row>
    <row r="647" spans="1:10" x14ac:dyDescent="0.3">
      <c r="A647" s="21">
        <v>45737</v>
      </c>
      <c r="B647" t="s">
        <v>923</v>
      </c>
      <c r="C647" t="s">
        <v>10</v>
      </c>
      <c r="D647">
        <v>3</v>
      </c>
      <c r="E647">
        <v>190</v>
      </c>
      <c r="F647">
        <v>570</v>
      </c>
      <c r="G647" t="s">
        <v>15</v>
      </c>
      <c r="H647">
        <v>2025</v>
      </c>
      <c r="I647" t="s">
        <v>1354</v>
      </c>
      <c r="J647" t="s">
        <v>1366</v>
      </c>
    </row>
    <row r="648" spans="1:10" x14ac:dyDescent="0.3">
      <c r="A648" s="21">
        <v>45737</v>
      </c>
      <c r="B648" t="s">
        <v>344</v>
      </c>
      <c r="C648" t="s">
        <v>14</v>
      </c>
      <c r="D648">
        <v>4</v>
      </c>
      <c r="E648">
        <v>588</v>
      </c>
      <c r="F648">
        <v>2352</v>
      </c>
      <c r="G648" t="s">
        <v>19</v>
      </c>
      <c r="H648">
        <v>2025</v>
      </c>
      <c r="I648" t="s">
        <v>1354</v>
      </c>
      <c r="J648" t="s">
        <v>1366</v>
      </c>
    </row>
    <row r="649" spans="1:10" x14ac:dyDescent="0.3">
      <c r="A649" s="21">
        <v>45738</v>
      </c>
      <c r="B649" t="s">
        <v>1241</v>
      </c>
      <c r="C649" t="s">
        <v>10</v>
      </c>
      <c r="D649">
        <v>1</v>
      </c>
      <c r="E649">
        <v>824</v>
      </c>
      <c r="F649">
        <v>824</v>
      </c>
      <c r="G649" t="s">
        <v>11</v>
      </c>
      <c r="H649">
        <v>2025</v>
      </c>
      <c r="I649" t="s">
        <v>1354</v>
      </c>
      <c r="J649" t="s">
        <v>1359</v>
      </c>
    </row>
    <row r="650" spans="1:10" x14ac:dyDescent="0.3">
      <c r="A650" s="21">
        <v>45738</v>
      </c>
      <c r="B650" t="s">
        <v>1155</v>
      </c>
      <c r="C650" t="s">
        <v>68</v>
      </c>
      <c r="D650">
        <v>5</v>
      </c>
      <c r="E650">
        <v>647</v>
      </c>
      <c r="F650">
        <v>3235</v>
      </c>
      <c r="G650" t="s">
        <v>7</v>
      </c>
      <c r="H650">
        <v>2025</v>
      </c>
      <c r="I650" t="s">
        <v>1354</v>
      </c>
      <c r="J650" t="s">
        <v>1359</v>
      </c>
    </row>
    <row r="651" spans="1:10" x14ac:dyDescent="0.3">
      <c r="A651" s="21">
        <v>45738</v>
      </c>
      <c r="B651" t="s">
        <v>462</v>
      </c>
      <c r="C651" t="s">
        <v>65</v>
      </c>
      <c r="D651">
        <v>6</v>
      </c>
      <c r="E651">
        <v>716</v>
      </c>
      <c r="F651">
        <v>4296</v>
      </c>
      <c r="G651" t="s">
        <v>27</v>
      </c>
      <c r="H651">
        <v>2025</v>
      </c>
      <c r="I651" t="s">
        <v>1354</v>
      </c>
      <c r="J651" t="s">
        <v>1359</v>
      </c>
    </row>
    <row r="652" spans="1:10" x14ac:dyDescent="0.3">
      <c r="A652" s="21">
        <v>45739</v>
      </c>
      <c r="B652" t="s">
        <v>743</v>
      </c>
      <c r="C652" t="s">
        <v>24</v>
      </c>
      <c r="D652">
        <v>6</v>
      </c>
      <c r="E652">
        <v>641</v>
      </c>
      <c r="F652">
        <v>3846</v>
      </c>
      <c r="G652" t="s">
        <v>27</v>
      </c>
      <c r="H652">
        <v>2025</v>
      </c>
      <c r="I652" t="s">
        <v>1354</v>
      </c>
      <c r="J652" t="s">
        <v>1361</v>
      </c>
    </row>
    <row r="653" spans="1:10" x14ac:dyDescent="0.3">
      <c r="A653" s="21">
        <v>45740</v>
      </c>
      <c r="B653" t="s">
        <v>733</v>
      </c>
      <c r="C653" t="s">
        <v>30</v>
      </c>
      <c r="D653">
        <v>3</v>
      </c>
      <c r="E653">
        <v>77</v>
      </c>
      <c r="F653">
        <v>231</v>
      </c>
      <c r="G653" t="s">
        <v>33</v>
      </c>
      <c r="H653">
        <v>2025</v>
      </c>
      <c r="I653" t="s">
        <v>1354</v>
      </c>
      <c r="J653" t="s">
        <v>1363</v>
      </c>
    </row>
    <row r="654" spans="1:10" x14ac:dyDescent="0.3">
      <c r="A654" s="21">
        <v>45740</v>
      </c>
      <c r="B654" t="s">
        <v>1335</v>
      </c>
      <c r="C654" t="s">
        <v>79</v>
      </c>
      <c r="D654">
        <v>3</v>
      </c>
      <c r="E654">
        <v>619</v>
      </c>
      <c r="F654">
        <v>1857</v>
      </c>
      <c r="G654" t="s">
        <v>27</v>
      </c>
      <c r="H654">
        <v>2025</v>
      </c>
      <c r="I654" t="s">
        <v>1354</v>
      </c>
      <c r="J654" t="s">
        <v>1363</v>
      </c>
    </row>
    <row r="655" spans="1:10" x14ac:dyDescent="0.3">
      <c r="A655" s="21">
        <v>45742</v>
      </c>
      <c r="B655" t="s">
        <v>672</v>
      </c>
      <c r="C655" t="s">
        <v>14</v>
      </c>
      <c r="D655">
        <v>3</v>
      </c>
      <c r="E655">
        <v>89</v>
      </c>
      <c r="F655">
        <v>267</v>
      </c>
      <c r="G655" t="s">
        <v>11</v>
      </c>
      <c r="H655">
        <v>2025</v>
      </c>
      <c r="I655" t="s">
        <v>1354</v>
      </c>
      <c r="J655" t="s">
        <v>1358</v>
      </c>
    </row>
    <row r="656" spans="1:10" x14ac:dyDescent="0.3">
      <c r="A656" s="21">
        <v>45742</v>
      </c>
      <c r="B656" t="s">
        <v>246</v>
      </c>
      <c r="C656" t="s">
        <v>68</v>
      </c>
      <c r="D656">
        <v>4</v>
      </c>
      <c r="E656">
        <v>175</v>
      </c>
      <c r="F656">
        <v>700</v>
      </c>
      <c r="G656" t="s">
        <v>33</v>
      </c>
      <c r="H656">
        <v>2025</v>
      </c>
      <c r="I656" t="s">
        <v>1354</v>
      </c>
      <c r="J656" t="s">
        <v>1358</v>
      </c>
    </row>
    <row r="657" spans="1:10" x14ac:dyDescent="0.3">
      <c r="A657" s="21">
        <v>45742</v>
      </c>
      <c r="B657" t="s">
        <v>1161</v>
      </c>
      <c r="C657" t="s">
        <v>65</v>
      </c>
      <c r="D657">
        <v>2</v>
      </c>
      <c r="E657">
        <v>878</v>
      </c>
      <c r="F657">
        <v>1756</v>
      </c>
      <c r="G657" t="s">
        <v>15</v>
      </c>
      <c r="H657">
        <v>2025</v>
      </c>
      <c r="I657" t="s">
        <v>1354</v>
      </c>
      <c r="J657" t="s">
        <v>1358</v>
      </c>
    </row>
    <row r="658" spans="1:10" x14ac:dyDescent="0.3">
      <c r="A658" s="21">
        <v>45743</v>
      </c>
      <c r="B658" t="s">
        <v>938</v>
      </c>
      <c r="C658" t="s">
        <v>65</v>
      </c>
      <c r="D658">
        <v>6</v>
      </c>
      <c r="E658">
        <v>344</v>
      </c>
      <c r="F658">
        <v>2064</v>
      </c>
      <c r="G658" t="s">
        <v>7</v>
      </c>
      <c r="H658">
        <v>2025</v>
      </c>
      <c r="I658" t="s">
        <v>1354</v>
      </c>
      <c r="J658" t="s">
        <v>1356</v>
      </c>
    </row>
    <row r="659" spans="1:10" x14ac:dyDescent="0.3">
      <c r="A659" s="21">
        <v>45744</v>
      </c>
      <c r="B659" t="s">
        <v>32</v>
      </c>
      <c r="C659" t="s">
        <v>6</v>
      </c>
      <c r="D659">
        <v>4</v>
      </c>
      <c r="E659">
        <v>241</v>
      </c>
      <c r="F659">
        <v>964</v>
      </c>
      <c r="G659" t="s">
        <v>33</v>
      </c>
      <c r="H659">
        <v>2025</v>
      </c>
      <c r="I659" t="s">
        <v>1354</v>
      </c>
      <c r="J659" t="s">
        <v>1366</v>
      </c>
    </row>
    <row r="660" spans="1:10" x14ac:dyDescent="0.3">
      <c r="A660" s="21">
        <v>45745</v>
      </c>
      <c r="B660" t="s">
        <v>70</v>
      </c>
      <c r="C660" t="s">
        <v>14</v>
      </c>
      <c r="D660">
        <v>3</v>
      </c>
      <c r="E660">
        <v>608</v>
      </c>
      <c r="F660">
        <v>1824</v>
      </c>
      <c r="G660" t="s">
        <v>27</v>
      </c>
      <c r="H660">
        <v>2025</v>
      </c>
      <c r="I660" t="s">
        <v>1354</v>
      </c>
      <c r="J660" t="s">
        <v>1359</v>
      </c>
    </row>
    <row r="661" spans="1:10" x14ac:dyDescent="0.3">
      <c r="A661" s="21">
        <v>45746</v>
      </c>
      <c r="B661" t="s">
        <v>843</v>
      </c>
      <c r="C661" t="s">
        <v>30</v>
      </c>
      <c r="D661">
        <v>2</v>
      </c>
      <c r="E661">
        <v>771</v>
      </c>
      <c r="F661">
        <v>1542</v>
      </c>
      <c r="G661" t="s">
        <v>15</v>
      </c>
      <c r="H661">
        <v>2025</v>
      </c>
      <c r="I661" t="s">
        <v>1354</v>
      </c>
      <c r="J661" t="s">
        <v>1361</v>
      </c>
    </row>
    <row r="662" spans="1:10" x14ac:dyDescent="0.3">
      <c r="A662" s="21">
        <v>45746</v>
      </c>
      <c r="B662" t="s">
        <v>239</v>
      </c>
      <c r="C662" t="s">
        <v>68</v>
      </c>
      <c r="D662">
        <v>4</v>
      </c>
      <c r="E662">
        <v>760</v>
      </c>
      <c r="F662">
        <v>3040</v>
      </c>
      <c r="G662" t="s">
        <v>15</v>
      </c>
      <c r="H662">
        <v>2025</v>
      </c>
      <c r="I662" t="s">
        <v>1354</v>
      </c>
      <c r="J662" t="s">
        <v>1361</v>
      </c>
    </row>
    <row r="663" spans="1:10" x14ac:dyDescent="0.3">
      <c r="A663" s="21">
        <v>45749</v>
      </c>
      <c r="B663" t="s">
        <v>209</v>
      </c>
      <c r="C663" t="s">
        <v>30</v>
      </c>
      <c r="D663">
        <v>6</v>
      </c>
      <c r="E663">
        <v>76</v>
      </c>
      <c r="F663">
        <v>456</v>
      </c>
      <c r="G663" t="s">
        <v>19</v>
      </c>
      <c r="H663">
        <v>2025</v>
      </c>
      <c r="I663" t="s">
        <v>1355</v>
      </c>
      <c r="J663" t="s">
        <v>1358</v>
      </c>
    </row>
    <row r="664" spans="1:10" x14ac:dyDescent="0.3">
      <c r="A664" s="21">
        <v>45749</v>
      </c>
      <c r="B664" t="s">
        <v>1168</v>
      </c>
      <c r="C664" t="s">
        <v>14</v>
      </c>
      <c r="D664">
        <v>3</v>
      </c>
      <c r="E664">
        <v>475</v>
      </c>
      <c r="F664">
        <v>1425</v>
      </c>
      <c r="G664" t="s">
        <v>15</v>
      </c>
      <c r="H664">
        <v>2025</v>
      </c>
      <c r="I664" t="s">
        <v>1355</v>
      </c>
      <c r="J664" t="s">
        <v>1358</v>
      </c>
    </row>
    <row r="665" spans="1:10" x14ac:dyDescent="0.3">
      <c r="A665" s="21">
        <v>45751</v>
      </c>
      <c r="B665" t="s">
        <v>1277</v>
      </c>
      <c r="C665" t="s">
        <v>79</v>
      </c>
      <c r="D665">
        <v>1</v>
      </c>
      <c r="E665">
        <v>261</v>
      </c>
      <c r="F665">
        <v>261</v>
      </c>
      <c r="G665" t="s">
        <v>11</v>
      </c>
      <c r="H665">
        <v>2025</v>
      </c>
      <c r="I665" t="s">
        <v>1355</v>
      </c>
      <c r="J665" t="s">
        <v>1366</v>
      </c>
    </row>
    <row r="666" spans="1:10" x14ac:dyDescent="0.3">
      <c r="A666" s="21">
        <v>45752</v>
      </c>
      <c r="B666" t="s">
        <v>585</v>
      </c>
      <c r="C666" t="s">
        <v>18</v>
      </c>
      <c r="D666">
        <v>1</v>
      </c>
      <c r="E666">
        <v>647</v>
      </c>
      <c r="F666">
        <v>647</v>
      </c>
      <c r="G666" t="s">
        <v>15</v>
      </c>
      <c r="H666">
        <v>2025</v>
      </c>
      <c r="I666" t="s">
        <v>1355</v>
      </c>
      <c r="J666" t="s">
        <v>1359</v>
      </c>
    </row>
    <row r="667" spans="1:10" x14ac:dyDescent="0.3">
      <c r="A667" s="21">
        <v>45753</v>
      </c>
      <c r="B667" t="s">
        <v>1008</v>
      </c>
      <c r="C667" t="s">
        <v>79</v>
      </c>
      <c r="D667">
        <v>1</v>
      </c>
      <c r="E667">
        <v>388</v>
      </c>
      <c r="F667">
        <v>388</v>
      </c>
      <c r="G667" t="s">
        <v>27</v>
      </c>
      <c r="H667">
        <v>2025</v>
      </c>
      <c r="I667" t="s">
        <v>1355</v>
      </c>
      <c r="J667" t="s">
        <v>1361</v>
      </c>
    </row>
    <row r="668" spans="1:10" x14ac:dyDescent="0.3">
      <c r="A668" s="21">
        <v>45753</v>
      </c>
      <c r="B668" t="s">
        <v>1163</v>
      </c>
      <c r="C668" t="s">
        <v>14</v>
      </c>
      <c r="D668">
        <v>1</v>
      </c>
      <c r="E668">
        <v>514</v>
      </c>
      <c r="F668">
        <v>514</v>
      </c>
      <c r="G668" t="s">
        <v>15</v>
      </c>
      <c r="H668">
        <v>2025</v>
      </c>
      <c r="I668" t="s">
        <v>1355</v>
      </c>
      <c r="J668" t="s">
        <v>1361</v>
      </c>
    </row>
    <row r="669" spans="1:10" x14ac:dyDescent="0.3">
      <c r="A669" s="21">
        <v>45753</v>
      </c>
      <c r="B669" t="s">
        <v>632</v>
      </c>
      <c r="C669" t="s">
        <v>18</v>
      </c>
      <c r="D669">
        <v>4</v>
      </c>
      <c r="E669">
        <v>445</v>
      </c>
      <c r="F669">
        <v>1780</v>
      </c>
      <c r="G669" t="s">
        <v>27</v>
      </c>
      <c r="H669">
        <v>2025</v>
      </c>
      <c r="I669" t="s">
        <v>1355</v>
      </c>
      <c r="J669" t="s">
        <v>1361</v>
      </c>
    </row>
    <row r="670" spans="1:10" x14ac:dyDescent="0.3">
      <c r="A670" s="21">
        <v>45754</v>
      </c>
      <c r="B670" t="s">
        <v>361</v>
      </c>
      <c r="C670" t="s">
        <v>10</v>
      </c>
      <c r="D670">
        <v>4</v>
      </c>
      <c r="E670">
        <v>125</v>
      </c>
      <c r="F670">
        <v>500</v>
      </c>
      <c r="G670" t="s">
        <v>11</v>
      </c>
      <c r="H670">
        <v>2025</v>
      </c>
      <c r="I670" t="s">
        <v>1355</v>
      </c>
      <c r="J670" t="s">
        <v>1363</v>
      </c>
    </row>
    <row r="671" spans="1:10" x14ac:dyDescent="0.3">
      <c r="A671" s="21">
        <v>45754</v>
      </c>
      <c r="B671" t="s">
        <v>362</v>
      </c>
      <c r="C671" t="s">
        <v>68</v>
      </c>
      <c r="D671">
        <v>2</v>
      </c>
      <c r="E671">
        <v>510</v>
      </c>
      <c r="F671">
        <v>1020</v>
      </c>
      <c r="G671" t="s">
        <v>33</v>
      </c>
      <c r="H671">
        <v>2025</v>
      </c>
      <c r="I671" t="s">
        <v>1355</v>
      </c>
      <c r="J671" t="s">
        <v>1363</v>
      </c>
    </row>
    <row r="672" spans="1:10" x14ac:dyDescent="0.3">
      <c r="A672" s="21">
        <v>45754</v>
      </c>
      <c r="B672" t="s">
        <v>664</v>
      </c>
      <c r="C672" t="s">
        <v>18</v>
      </c>
      <c r="D672">
        <v>4</v>
      </c>
      <c r="E672">
        <v>571</v>
      </c>
      <c r="F672">
        <v>2284</v>
      </c>
      <c r="G672" t="s">
        <v>19</v>
      </c>
      <c r="H672">
        <v>2025</v>
      </c>
      <c r="I672" t="s">
        <v>1355</v>
      </c>
      <c r="J672" t="s">
        <v>1363</v>
      </c>
    </row>
    <row r="673" spans="1:10" x14ac:dyDescent="0.3">
      <c r="A673" s="21">
        <v>45755</v>
      </c>
      <c r="B673" t="s">
        <v>1080</v>
      </c>
      <c r="C673" t="s">
        <v>79</v>
      </c>
      <c r="D673">
        <v>2</v>
      </c>
      <c r="E673">
        <v>564</v>
      </c>
      <c r="F673">
        <v>1128</v>
      </c>
      <c r="G673" t="s">
        <v>27</v>
      </c>
      <c r="H673">
        <v>2025</v>
      </c>
      <c r="I673" t="s">
        <v>1355</v>
      </c>
      <c r="J673" t="s">
        <v>1353</v>
      </c>
    </row>
    <row r="674" spans="1:10" x14ac:dyDescent="0.3">
      <c r="A674" s="21">
        <v>45755</v>
      </c>
      <c r="B674" t="s">
        <v>595</v>
      </c>
      <c r="C674" t="s">
        <v>14</v>
      </c>
      <c r="D674">
        <v>5</v>
      </c>
      <c r="E674">
        <v>913</v>
      </c>
      <c r="F674">
        <v>4565</v>
      </c>
      <c r="G674" t="s">
        <v>33</v>
      </c>
      <c r="H674">
        <v>2025</v>
      </c>
      <c r="I674" t="s">
        <v>1355</v>
      </c>
      <c r="J674" t="s">
        <v>1353</v>
      </c>
    </row>
    <row r="675" spans="1:10" x14ac:dyDescent="0.3">
      <c r="A675" s="21">
        <v>45755</v>
      </c>
      <c r="B675" t="s">
        <v>1081</v>
      </c>
      <c r="C675" t="s">
        <v>79</v>
      </c>
      <c r="D675">
        <v>6</v>
      </c>
      <c r="E675">
        <v>995</v>
      </c>
      <c r="F675">
        <v>5970</v>
      </c>
      <c r="G675" t="s">
        <v>11</v>
      </c>
      <c r="H675">
        <v>2025</v>
      </c>
      <c r="I675" t="s">
        <v>1355</v>
      </c>
      <c r="J675" t="s">
        <v>1353</v>
      </c>
    </row>
    <row r="676" spans="1:10" x14ac:dyDescent="0.3">
      <c r="A676" s="21">
        <v>45756</v>
      </c>
      <c r="B676" t="s">
        <v>1219</v>
      </c>
      <c r="C676" t="s">
        <v>14</v>
      </c>
      <c r="D676">
        <v>1</v>
      </c>
      <c r="E676">
        <v>978</v>
      </c>
      <c r="F676">
        <v>978</v>
      </c>
      <c r="G676" t="s">
        <v>15</v>
      </c>
      <c r="H676">
        <v>2025</v>
      </c>
      <c r="I676" t="s">
        <v>1355</v>
      </c>
      <c r="J676" t="s">
        <v>1358</v>
      </c>
    </row>
    <row r="677" spans="1:10" x14ac:dyDescent="0.3">
      <c r="A677" s="21">
        <v>45756</v>
      </c>
      <c r="B677" t="s">
        <v>458</v>
      </c>
      <c r="C677" t="s">
        <v>38</v>
      </c>
      <c r="D677">
        <v>4</v>
      </c>
      <c r="E677">
        <v>839</v>
      </c>
      <c r="F677">
        <v>3356</v>
      </c>
      <c r="G677" t="s">
        <v>11</v>
      </c>
      <c r="H677">
        <v>2025</v>
      </c>
      <c r="I677" t="s">
        <v>1355</v>
      </c>
      <c r="J677" t="s">
        <v>1358</v>
      </c>
    </row>
    <row r="678" spans="1:10" x14ac:dyDescent="0.3">
      <c r="A678" s="21">
        <v>45758</v>
      </c>
      <c r="B678" t="s">
        <v>1036</v>
      </c>
      <c r="C678" t="s">
        <v>65</v>
      </c>
      <c r="D678">
        <v>1</v>
      </c>
      <c r="E678">
        <v>385</v>
      </c>
      <c r="F678">
        <v>385</v>
      </c>
      <c r="G678" t="s">
        <v>27</v>
      </c>
      <c r="H678">
        <v>2025</v>
      </c>
      <c r="I678" t="s">
        <v>1355</v>
      </c>
      <c r="J678" t="s">
        <v>1366</v>
      </c>
    </row>
    <row r="679" spans="1:10" x14ac:dyDescent="0.3">
      <c r="A679" s="21">
        <v>45758</v>
      </c>
      <c r="B679" t="s">
        <v>473</v>
      </c>
      <c r="C679" t="s">
        <v>10</v>
      </c>
      <c r="D679">
        <v>2</v>
      </c>
      <c r="E679">
        <v>559</v>
      </c>
      <c r="F679">
        <v>1118</v>
      </c>
      <c r="G679" t="s">
        <v>33</v>
      </c>
      <c r="H679">
        <v>2025</v>
      </c>
      <c r="I679" t="s">
        <v>1355</v>
      </c>
      <c r="J679" t="s">
        <v>1366</v>
      </c>
    </row>
    <row r="680" spans="1:10" x14ac:dyDescent="0.3">
      <c r="A680" s="21">
        <v>45760</v>
      </c>
      <c r="B680" t="s">
        <v>869</v>
      </c>
      <c r="C680" t="s">
        <v>30</v>
      </c>
      <c r="D680">
        <v>4</v>
      </c>
      <c r="E680">
        <v>873</v>
      </c>
      <c r="F680">
        <v>3492</v>
      </c>
      <c r="G680" t="s">
        <v>11</v>
      </c>
      <c r="H680">
        <v>2025</v>
      </c>
      <c r="I680" t="s">
        <v>1355</v>
      </c>
      <c r="J680" t="s">
        <v>1361</v>
      </c>
    </row>
    <row r="681" spans="1:10" x14ac:dyDescent="0.3">
      <c r="A681" s="21">
        <v>45764</v>
      </c>
      <c r="B681" t="s">
        <v>1333</v>
      </c>
      <c r="C681" t="s">
        <v>14</v>
      </c>
      <c r="D681">
        <v>1</v>
      </c>
      <c r="E681">
        <v>745</v>
      </c>
      <c r="F681">
        <v>745</v>
      </c>
      <c r="G681" t="s">
        <v>33</v>
      </c>
      <c r="H681">
        <v>2025</v>
      </c>
      <c r="I681" t="s">
        <v>1355</v>
      </c>
      <c r="J681" t="s">
        <v>1356</v>
      </c>
    </row>
    <row r="682" spans="1:10" x14ac:dyDescent="0.3">
      <c r="A682" s="21">
        <v>45764</v>
      </c>
      <c r="B682" t="s">
        <v>876</v>
      </c>
      <c r="C682" t="s">
        <v>68</v>
      </c>
      <c r="D682">
        <v>5</v>
      </c>
      <c r="E682">
        <v>404</v>
      </c>
      <c r="F682">
        <v>2020</v>
      </c>
      <c r="G682" t="s">
        <v>27</v>
      </c>
      <c r="H682">
        <v>2025</v>
      </c>
      <c r="I682" t="s">
        <v>1355</v>
      </c>
      <c r="J682" t="s">
        <v>1356</v>
      </c>
    </row>
    <row r="683" spans="1:10" x14ac:dyDescent="0.3">
      <c r="A683" s="21">
        <v>45765</v>
      </c>
      <c r="B683" t="s">
        <v>1284</v>
      </c>
      <c r="C683" t="s">
        <v>38</v>
      </c>
      <c r="D683">
        <v>3</v>
      </c>
      <c r="E683">
        <v>738</v>
      </c>
      <c r="F683">
        <v>2214</v>
      </c>
      <c r="G683" t="s">
        <v>27</v>
      </c>
      <c r="H683">
        <v>2025</v>
      </c>
      <c r="I683" t="s">
        <v>1355</v>
      </c>
      <c r="J683" t="s">
        <v>1366</v>
      </c>
    </row>
    <row r="684" spans="1:10" x14ac:dyDescent="0.3">
      <c r="A684" s="21">
        <v>45766</v>
      </c>
      <c r="B684" t="s">
        <v>1206</v>
      </c>
      <c r="C684" t="s">
        <v>6</v>
      </c>
      <c r="D684">
        <v>6</v>
      </c>
      <c r="E684">
        <v>837</v>
      </c>
      <c r="F684">
        <v>5022</v>
      </c>
      <c r="G684" t="s">
        <v>33</v>
      </c>
      <c r="H684">
        <v>2025</v>
      </c>
      <c r="I684" t="s">
        <v>1355</v>
      </c>
      <c r="J684" t="s">
        <v>1359</v>
      </c>
    </row>
    <row r="685" spans="1:10" x14ac:dyDescent="0.3">
      <c r="A685" s="21">
        <v>45769</v>
      </c>
      <c r="B685" t="s">
        <v>986</v>
      </c>
      <c r="C685" t="s">
        <v>14</v>
      </c>
      <c r="D685">
        <v>5</v>
      </c>
      <c r="E685">
        <v>1000</v>
      </c>
      <c r="F685">
        <v>5000</v>
      </c>
      <c r="G685" t="s">
        <v>7</v>
      </c>
      <c r="H685">
        <v>2025</v>
      </c>
      <c r="I685" t="s">
        <v>1355</v>
      </c>
      <c r="J685" t="s">
        <v>1353</v>
      </c>
    </row>
    <row r="686" spans="1:10" x14ac:dyDescent="0.3">
      <c r="A686" s="21">
        <v>45770</v>
      </c>
      <c r="B686" t="s">
        <v>562</v>
      </c>
      <c r="C686" t="s">
        <v>10</v>
      </c>
      <c r="D686">
        <v>2</v>
      </c>
      <c r="E686">
        <v>213</v>
      </c>
      <c r="F686">
        <v>426</v>
      </c>
      <c r="G686" t="s">
        <v>15</v>
      </c>
      <c r="H686">
        <v>2025</v>
      </c>
      <c r="I686" t="s">
        <v>1355</v>
      </c>
      <c r="J686" t="s">
        <v>1358</v>
      </c>
    </row>
    <row r="687" spans="1:10" x14ac:dyDescent="0.3">
      <c r="A687" s="21">
        <v>45770</v>
      </c>
      <c r="B687" t="s">
        <v>752</v>
      </c>
      <c r="C687" t="s">
        <v>38</v>
      </c>
      <c r="D687">
        <v>1</v>
      </c>
      <c r="E687">
        <v>586</v>
      </c>
      <c r="F687">
        <v>586</v>
      </c>
      <c r="G687" t="s">
        <v>19</v>
      </c>
      <c r="H687">
        <v>2025</v>
      </c>
      <c r="I687" t="s">
        <v>1355</v>
      </c>
      <c r="J687" t="s">
        <v>1358</v>
      </c>
    </row>
    <row r="688" spans="1:10" x14ac:dyDescent="0.3">
      <c r="A688" s="21">
        <v>45770</v>
      </c>
      <c r="B688" t="s">
        <v>949</v>
      </c>
      <c r="C688" t="s">
        <v>18</v>
      </c>
      <c r="D688">
        <v>6</v>
      </c>
      <c r="E688">
        <v>637</v>
      </c>
      <c r="F688">
        <v>3822</v>
      </c>
      <c r="G688" t="s">
        <v>7</v>
      </c>
      <c r="H688">
        <v>2025</v>
      </c>
      <c r="I688" t="s">
        <v>1355</v>
      </c>
      <c r="J688" t="s">
        <v>1358</v>
      </c>
    </row>
    <row r="689" spans="1:10" x14ac:dyDescent="0.3">
      <c r="A689" s="21">
        <v>45771</v>
      </c>
      <c r="B689" t="s">
        <v>910</v>
      </c>
      <c r="C689" t="s">
        <v>30</v>
      </c>
      <c r="D689">
        <v>3</v>
      </c>
      <c r="E689">
        <v>703</v>
      </c>
      <c r="F689">
        <v>2109</v>
      </c>
      <c r="G689" t="s">
        <v>33</v>
      </c>
      <c r="H689">
        <v>2025</v>
      </c>
      <c r="I689" t="s">
        <v>1355</v>
      </c>
      <c r="J689" t="s">
        <v>1356</v>
      </c>
    </row>
    <row r="690" spans="1:10" x14ac:dyDescent="0.3">
      <c r="A690" s="21">
        <v>45772</v>
      </c>
      <c r="B690" t="s">
        <v>838</v>
      </c>
      <c r="C690" t="s">
        <v>65</v>
      </c>
      <c r="D690">
        <v>1</v>
      </c>
      <c r="E690">
        <v>355</v>
      </c>
      <c r="F690">
        <v>355</v>
      </c>
      <c r="G690" t="s">
        <v>15</v>
      </c>
      <c r="H690">
        <v>2025</v>
      </c>
      <c r="I690" t="s">
        <v>1355</v>
      </c>
      <c r="J690" t="s">
        <v>1366</v>
      </c>
    </row>
    <row r="691" spans="1:10" x14ac:dyDescent="0.3">
      <c r="A691" s="21">
        <v>45772</v>
      </c>
      <c r="B691" t="s">
        <v>229</v>
      </c>
      <c r="C691" t="s">
        <v>6</v>
      </c>
      <c r="D691">
        <v>5</v>
      </c>
      <c r="E691">
        <v>316</v>
      </c>
      <c r="F691">
        <v>1580</v>
      </c>
      <c r="G691" t="s">
        <v>15</v>
      </c>
      <c r="H691">
        <v>2025</v>
      </c>
      <c r="I691" t="s">
        <v>1355</v>
      </c>
      <c r="J691" t="s">
        <v>1366</v>
      </c>
    </row>
    <row r="692" spans="1:10" x14ac:dyDescent="0.3">
      <c r="A692" s="21">
        <v>45773</v>
      </c>
      <c r="B692" t="s">
        <v>1140</v>
      </c>
      <c r="C692" t="s">
        <v>38</v>
      </c>
      <c r="D692">
        <v>4</v>
      </c>
      <c r="E692">
        <v>567</v>
      </c>
      <c r="F692">
        <v>2268</v>
      </c>
      <c r="G692" t="s">
        <v>11</v>
      </c>
      <c r="H692">
        <v>2025</v>
      </c>
      <c r="I692" t="s">
        <v>1355</v>
      </c>
      <c r="J692" t="s">
        <v>1359</v>
      </c>
    </row>
    <row r="693" spans="1:10" x14ac:dyDescent="0.3">
      <c r="A693" s="21">
        <v>45776</v>
      </c>
      <c r="B693" t="s">
        <v>437</v>
      </c>
      <c r="C693" t="s">
        <v>30</v>
      </c>
      <c r="D693">
        <v>3</v>
      </c>
      <c r="E693">
        <v>787</v>
      </c>
      <c r="F693">
        <v>2361</v>
      </c>
      <c r="G693" t="s">
        <v>11</v>
      </c>
      <c r="H693">
        <v>2025</v>
      </c>
      <c r="I693" t="s">
        <v>1355</v>
      </c>
      <c r="J693" t="s">
        <v>1353</v>
      </c>
    </row>
    <row r="694" spans="1:10" x14ac:dyDescent="0.3">
      <c r="A694" s="21">
        <v>45778</v>
      </c>
      <c r="B694" t="s">
        <v>995</v>
      </c>
      <c r="C694" t="s">
        <v>38</v>
      </c>
      <c r="D694">
        <v>1</v>
      </c>
      <c r="E694">
        <v>555</v>
      </c>
      <c r="F694">
        <v>555</v>
      </c>
      <c r="G694" t="s">
        <v>27</v>
      </c>
      <c r="H694">
        <v>2025</v>
      </c>
      <c r="I694" t="s">
        <v>1368</v>
      </c>
      <c r="J694" t="s">
        <v>1356</v>
      </c>
    </row>
    <row r="695" spans="1:10" x14ac:dyDescent="0.3">
      <c r="A695" s="21">
        <v>45778</v>
      </c>
      <c r="B695" t="s">
        <v>1150</v>
      </c>
      <c r="C695" t="s">
        <v>14</v>
      </c>
      <c r="D695">
        <v>5</v>
      </c>
      <c r="E695">
        <v>502</v>
      </c>
      <c r="F695">
        <v>2510</v>
      </c>
      <c r="G695" t="s">
        <v>19</v>
      </c>
      <c r="H695">
        <v>2025</v>
      </c>
      <c r="I695" t="s">
        <v>1368</v>
      </c>
      <c r="J695" t="s">
        <v>1356</v>
      </c>
    </row>
    <row r="696" spans="1:10" x14ac:dyDescent="0.3">
      <c r="A696" s="21">
        <v>45778</v>
      </c>
      <c r="B696" t="s">
        <v>996</v>
      </c>
      <c r="C696" t="s">
        <v>79</v>
      </c>
      <c r="D696">
        <v>4</v>
      </c>
      <c r="E696">
        <v>960</v>
      </c>
      <c r="F696">
        <v>3840</v>
      </c>
      <c r="G696" t="s">
        <v>7</v>
      </c>
      <c r="H696">
        <v>2025</v>
      </c>
      <c r="I696" t="s">
        <v>1368</v>
      </c>
      <c r="J696" t="s">
        <v>1356</v>
      </c>
    </row>
    <row r="697" spans="1:10" x14ac:dyDescent="0.3">
      <c r="A697" s="21">
        <v>45779</v>
      </c>
      <c r="B697" t="s">
        <v>1127</v>
      </c>
      <c r="C697" t="s">
        <v>68</v>
      </c>
      <c r="D697">
        <v>6</v>
      </c>
      <c r="E697">
        <v>507</v>
      </c>
      <c r="F697">
        <v>3042</v>
      </c>
      <c r="G697" t="s">
        <v>27</v>
      </c>
      <c r="H697">
        <v>2025</v>
      </c>
      <c r="I697" t="s">
        <v>1368</v>
      </c>
      <c r="J697" t="s">
        <v>1366</v>
      </c>
    </row>
    <row r="698" spans="1:10" x14ac:dyDescent="0.3">
      <c r="A698" s="21">
        <v>45780</v>
      </c>
      <c r="B698" t="s">
        <v>216</v>
      </c>
      <c r="C698" t="s">
        <v>68</v>
      </c>
      <c r="D698">
        <v>1</v>
      </c>
      <c r="E698">
        <v>580</v>
      </c>
      <c r="F698">
        <v>580</v>
      </c>
      <c r="G698" t="s">
        <v>15</v>
      </c>
      <c r="H698">
        <v>2025</v>
      </c>
      <c r="I698" t="s">
        <v>1368</v>
      </c>
      <c r="J698" t="s">
        <v>1359</v>
      </c>
    </row>
    <row r="699" spans="1:10" x14ac:dyDescent="0.3">
      <c r="A699" s="21">
        <v>45780</v>
      </c>
      <c r="B699" t="s">
        <v>1117</v>
      </c>
      <c r="C699" t="s">
        <v>14</v>
      </c>
      <c r="D699">
        <v>2</v>
      </c>
      <c r="E699">
        <v>830</v>
      </c>
      <c r="F699">
        <v>1660</v>
      </c>
      <c r="G699" t="s">
        <v>15</v>
      </c>
      <c r="H699">
        <v>2025</v>
      </c>
      <c r="I699" t="s">
        <v>1368</v>
      </c>
      <c r="J699" t="s">
        <v>1359</v>
      </c>
    </row>
    <row r="700" spans="1:10" x14ac:dyDescent="0.3">
      <c r="A700" s="21">
        <v>45781</v>
      </c>
      <c r="B700" t="s">
        <v>86</v>
      </c>
      <c r="C700" t="s">
        <v>18</v>
      </c>
      <c r="D700">
        <v>2</v>
      </c>
      <c r="E700">
        <v>363</v>
      </c>
      <c r="F700">
        <v>726</v>
      </c>
      <c r="G700" t="s">
        <v>27</v>
      </c>
      <c r="H700">
        <v>2025</v>
      </c>
      <c r="I700" t="s">
        <v>1368</v>
      </c>
      <c r="J700" t="s">
        <v>1361</v>
      </c>
    </row>
    <row r="701" spans="1:10" x14ac:dyDescent="0.3">
      <c r="A701" s="21">
        <v>45781</v>
      </c>
      <c r="B701" t="s">
        <v>641</v>
      </c>
      <c r="C701" t="s">
        <v>24</v>
      </c>
      <c r="D701">
        <v>4</v>
      </c>
      <c r="E701">
        <v>688</v>
      </c>
      <c r="F701">
        <v>2752</v>
      </c>
      <c r="G701" t="s">
        <v>15</v>
      </c>
      <c r="H701">
        <v>2025</v>
      </c>
      <c r="I701" t="s">
        <v>1368</v>
      </c>
      <c r="J701" t="s">
        <v>1361</v>
      </c>
    </row>
    <row r="702" spans="1:10" x14ac:dyDescent="0.3">
      <c r="A702" s="21">
        <v>45781</v>
      </c>
      <c r="B702" t="s">
        <v>387</v>
      </c>
      <c r="C702" t="s">
        <v>68</v>
      </c>
      <c r="D702">
        <v>6</v>
      </c>
      <c r="E702">
        <v>901</v>
      </c>
      <c r="F702">
        <v>5406</v>
      </c>
      <c r="G702" t="s">
        <v>15</v>
      </c>
      <c r="H702">
        <v>2025</v>
      </c>
      <c r="I702" t="s">
        <v>1368</v>
      </c>
      <c r="J702" t="s">
        <v>1361</v>
      </c>
    </row>
    <row r="703" spans="1:10" x14ac:dyDescent="0.3">
      <c r="A703" s="21">
        <v>45782</v>
      </c>
      <c r="B703" t="s">
        <v>928</v>
      </c>
      <c r="C703" t="s">
        <v>65</v>
      </c>
      <c r="D703">
        <v>2</v>
      </c>
      <c r="E703">
        <v>718</v>
      </c>
      <c r="F703">
        <v>1436</v>
      </c>
      <c r="G703" t="s">
        <v>15</v>
      </c>
      <c r="H703">
        <v>2025</v>
      </c>
      <c r="I703" t="s">
        <v>1368</v>
      </c>
      <c r="J703" t="s">
        <v>1363</v>
      </c>
    </row>
    <row r="704" spans="1:10" x14ac:dyDescent="0.3">
      <c r="A704" s="21">
        <v>45784</v>
      </c>
      <c r="B704" t="s">
        <v>956</v>
      </c>
      <c r="C704" t="s">
        <v>18</v>
      </c>
      <c r="D704">
        <v>6</v>
      </c>
      <c r="E704">
        <v>88</v>
      </c>
      <c r="F704">
        <v>528</v>
      </c>
      <c r="G704" t="s">
        <v>11</v>
      </c>
      <c r="H704">
        <v>2025</v>
      </c>
      <c r="I704" t="s">
        <v>1368</v>
      </c>
      <c r="J704" t="s">
        <v>1358</v>
      </c>
    </row>
    <row r="705" spans="1:10" x14ac:dyDescent="0.3">
      <c r="A705" s="21">
        <v>45785</v>
      </c>
      <c r="B705" t="s">
        <v>768</v>
      </c>
      <c r="C705" t="s">
        <v>18</v>
      </c>
      <c r="D705">
        <v>1</v>
      </c>
      <c r="E705">
        <v>767</v>
      </c>
      <c r="F705">
        <v>767</v>
      </c>
      <c r="G705" t="s">
        <v>11</v>
      </c>
      <c r="H705">
        <v>2025</v>
      </c>
      <c r="I705" t="s">
        <v>1368</v>
      </c>
      <c r="J705" t="s">
        <v>1356</v>
      </c>
    </row>
    <row r="706" spans="1:10" x14ac:dyDescent="0.3">
      <c r="A706" s="21">
        <v>45785</v>
      </c>
      <c r="B706" t="s">
        <v>1123</v>
      </c>
      <c r="C706" t="s">
        <v>24</v>
      </c>
      <c r="D706">
        <v>2</v>
      </c>
      <c r="E706">
        <v>944</v>
      </c>
      <c r="F706">
        <v>1888</v>
      </c>
      <c r="G706" t="s">
        <v>7</v>
      </c>
      <c r="H706">
        <v>2025</v>
      </c>
      <c r="I706" t="s">
        <v>1368</v>
      </c>
      <c r="J706" t="s">
        <v>1356</v>
      </c>
    </row>
    <row r="707" spans="1:10" x14ac:dyDescent="0.3">
      <c r="A707" s="21">
        <v>45785</v>
      </c>
      <c r="B707" t="s">
        <v>690</v>
      </c>
      <c r="C707" t="s">
        <v>79</v>
      </c>
      <c r="D707">
        <v>6</v>
      </c>
      <c r="E707">
        <v>385</v>
      </c>
      <c r="F707">
        <v>2310</v>
      </c>
      <c r="G707" t="s">
        <v>15</v>
      </c>
      <c r="H707">
        <v>2025</v>
      </c>
      <c r="I707" t="s">
        <v>1368</v>
      </c>
      <c r="J707" t="s">
        <v>1356</v>
      </c>
    </row>
    <row r="708" spans="1:10" x14ac:dyDescent="0.3">
      <c r="A708" s="21">
        <v>45788</v>
      </c>
      <c r="B708" t="s">
        <v>355</v>
      </c>
      <c r="C708" t="s">
        <v>18</v>
      </c>
      <c r="D708">
        <v>1</v>
      </c>
      <c r="E708">
        <v>125</v>
      </c>
      <c r="F708">
        <v>125</v>
      </c>
      <c r="G708" t="s">
        <v>33</v>
      </c>
      <c r="H708">
        <v>2025</v>
      </c>
      <c r="I708" t="s">
        <v>1368</v>
      </c>
      <c r="J708" t="s">
        <v>1361</v>
      </c>
    </row>
    <row r="709" spans="1:10" x14ac:dyDescent="0.3">
      <c r="A709" s="21">
        <v>45789</v>
      </c>
      <c r="B709" t="s">
        <v>1234</v>
      </c>
      <c r="C709" t="s">
        <v>68</v>
      </c>
      <c r="D709">
        <v>1</v>
      </c>
      <c r="E709">
        <v>452</v>
      </c>
      <c r="F709">
        <v>452</v>
      </c>
      <c r="G709" t="s">
        <v>27</v>
      </c>
      <c r="H709">
        <v>2025</v>
      </c>
      <c r="I709" t="s">
        <v>1368</v>
      </c>
      <c r="J709" t="s">
        <v>1363</v>
      </c>
    </row>
    <row r="710" spans="1:10" x14ac:dyDescent="0.3">
      <c r="A710" s="21">
        <v>45789</v>
      </c>
      <c r="B710" t="s">
        <v>860</v>
      </c>
      <c r="C710" t="s">
        <v>24</v>
      </c>
      <c r="D710">
        <v>2</v>
      </c>
      <c r="E710">
        <v>637</v>
      </c>
      <c r="F710">
        <v>1274</v>
      </c>
      <c r="G710" t="s">
        <v>7</v>
      </c>
      <c r="H710">
        <v>2025</v>
      </c>
      <c r="I710" t="s">
        <v>1368</v>
      </c>
      <c r="J710" t="s">
        <v>1363</v>
      </c>
    </row>
    <row r="711" spans="1:10" x14ac:dyDescent="0.3">
      <c r="A711" s="21">
        <v>45789</v>
      </c>
      <c r="B711" t="s">
        <v>1030</v>
      </c>
      <c r="C711" t="s">
        <v>18</v>
      </c>
      <c r="D711">
        <v>3</v>
      </c>
      <c r="E711">
        <v>926</v>
      </c>
      <c r="F711">
        <v>2778</v>
      </c>
      <c r="G711" t="s">
        <v>7</v>
      </c>
      <c r="H711">
        <v>2025</v>
      </c>
      <c r="I711" t="s">
        <v>1368</v>
      </c>
      <c r="J711" t="s">
        <v>1363</v>
      </c>
    </row>
    <row r="712" spans="1:10" x14ac:dyDescent="0.3">
      <c r="A712" s="21">
        <v>45789</v>
      </c>
      <c r="B712" t="s">
        <v>861</v>
      </c>
      <c r="C712" t="s">
        <v>18</v>
      </c>
      <c r="D712">
        <v>5</v>
      </c>
      <c r="E712">
        <v>742</v>
      </c>
      <c r="F712">
        <v>3710</v>
      </c>
      <c r="G712" t="s">
        <v>19</v>
      </c>
      <c r="H712">
        <v>2025</v>
      </c>
      <c r="I712" t="s">
        <v>1368</v>
      </c>
      <c r="J712" t="s">
        <v>1363</v>
      </c>
    </row>
    <row r="713" spans="1:10" x14ac:dyDescent="0.3">
      <c r="A713" s="21">
        <v>45790</v>
      </c>
      <c r="B713" t="s">
        <v>912</v>
      </c>
      <c r="C713" t="s">
        <v>10</v>
      </c>
      <c r="D713">
        <v>2</v>
      </c>
      <c r="E713">
        <v>288</v>
      </c>
      <c r="F713">
        <v>576</v>
      </c>
      <c r="G713" t="s">
        <v>15</v>
      </c>
      <c r="H713">
        <v>2025</v>
      </c>
      <c r="I713" t="s">
        <v>1368</v>
      </c>
      <c r="J713" t="s">
        <v>1353</v>
      </c>
    </row>
    <row r="714" spans="1:10" x14ac:dyDescent="0.3">
      <c r="A714" s="21">
        <v>45791</v>
      </c>
      <c r="B714" t="s">
        <v>78</v>
      </c>
      <c r="C714" t="s">
        <v>79</v>
      </c>
      <c r="D714">
        <v>4</v>
      </c>
      <c r="E714">
        <v>131</v>
      </c>
      <c r="F714">
        <v>524</v>
      </c>
      <c r="G714" t="s">
        <v>27</v>
      </c>
      <c r="H714">
        <v>2025</v>
      </c>
      <c r="I714" t="s">
        <v>1368</v>
      </c>
      <c r="J714" t="s">
        <v>1358</v>
      </c>
    </row>
    <row r="715" spans="1:10" x14ac:dyDescent="0.3">
      <c r="A715" s="21">
        <v>45791</v>
      </c>
      <c r="B715" t="s">
        <v>204</v>
      </c>
      <c r="C715" t="s">
        <v>24</v>
      </c>
      <c r="D715">
        <v>5</v>
      </c>
      <c r="E715">
        <v>335</v>
      </c>
      <c r="F715">
        <v>1675</v>
      </c>
      <c r="G715" t="s">
        <v>19</v>
      </c>
      <c r="H715">
        <v>2025</v>
      </c>
      <c r="I715" t="s">
        <v>1368</v>
      </c>
      <c r="J715" t="s">
        <v>1358</v>
      </c>
    </row>
    <row r="716" spans="1:10" x14ac:dyDescent="0.3">
      <c r="A716" s="21">
        <v>45791</v>
      </c>
      <c r="B716" t="s">
        <v>1304</v>
      </c>
      <c r="C716" t="s">
        <v>14</v>
      </c>
      <c r="D716">
        <v>6</v>
      </c>
      <c r="E716">
        <v>988</v>
      </c>
      <c r="F716">
        <v>5928</v>
      </c>
      <c r="G716" t="s">
        <v>27</v>
      </c>
      <c r="H716">
        <v>2025</v>
      </c>
      <c r="I716" t="s">
        <v>1368</v>
      </c>
      <c r="J716" t="s">
        <v>1358</v>
      </c>
    </row>
    <row r="717" spans="1:10" x14ac:dyDescent="0.3">
      <c r="A717" s="21">
        <v>45793</v>
      </c>
      <c r="B717" t="s">
        <v>901</v>
      </c>
      <c r="C717" t="s">
        <v>79</v>
      </c>
      <c r="D717">
        <v>4</v>
      </c>
      <c r="E717">
        <v>298</v>
      </c>
      <c r="F717">
        <v>1192</v>
      </c>
      <c r="G717" t="s">
        <v>27</v>
      </c>
      <c r="H717">
        <v>2025</v>
      </c>
      <c r="I717" t="s">
        <v>1368</v>
      </c>
      <c r="J717" t="s">
        <v>1366</v>
      </c>
    </row>
    <row r="718" spans="1:10" x14ac:dyDescent="0.3">
      <c r="A718" s="21">
        <v>45794</v>
      </c>
      <c r="B718" t="s">
        <v>192</v>
      </c>
      <c r="C718" t="s">
        <v>79</v>
      </c>
      <c r="D718">
        <v>1</v>
      </c>
      <c r="E718">
        <v>637</v>
      </c>
      <c r="F718">
        <v>637</v>
      </c>
      <c r="G718" t="s">
        <v>19</v>
      </c>
      <c r="H718">
        <v>2025</v>
      </c>
      <c r="I718" t="s">
        <v>1368</v>
      </c>
      <c r="J718" t="s">
        <v>1359</v>
      </c>
    </row>
    <row r="719" spans="1:10" x14ac:dyDescent="0.3">
      <c r="A719" s="21">
        <v>45795</v>
      </c>
      <c r="B719" t="s">
        <v>252</v>
      </c>
      <c r="C719" t="s">
        <v>14</v>
      </c>
      <c r="D719">
        <v>5</v>
      </c>
      <c r="E719">
        <v>125</v>
      </c>
      <c r="F719">
        <v>625</v>
      </c>
      <c r="G719" t="s">
        <v>15</v>
      </c>
      <c r="H719">
        <v>2025</v>
      </c>
      <c r="I719" t="s">
        <v>1368</v>
      </c>
      <c r="J719" t="s">
        <v>1361</v>
      </c>
    </row>
    <row r="720" spans="1:10" x14ac:dyDescent="0.3">
      <c r="A720" s="21">
        <v>45795</v>
      </c>
      <c r="B720" t="s">
        <v>465</v>
      </c>
      <c r="C720" t="s">
        <v>30</v>
      </c>
      <c r="D720">
        <v>6</v>
      </c>
      <c r="E720">
        <v>835</v>
      </c>
      <c r="F720">
        <v>5010</v>
      </c>
      <c r="G720" t="s">
        <v>33</v>
      </c>
      <c r="H720">
        <v>2025</v>
      </c>
      <c r="I720" t="s">
        <v>1368</v>
      </c>
      <c r="J720" t="s">
        <v>1361</v>
      </c>
    </row>
    <row r="721" spans="1:10" x14ac:dyDescent="0.3">
      <c r="A721" s="21">
        <v>45796</v>
      </c>
      <c r="B721" t="s">
        <v>818</v>
      </c>
      <c r="C721" t="s">
        <v>30</v>
      </c>
      <c r="D721">
        <v>1</v>
      </c>
      <c r="E721">
        <v>412</v>
      </c>
      <c r="F721">
        <v>412</v>
      </c>
      <c r="G721" t="s">
        <v>7</v>
      </c>
      <c r="H721">
        <v>2025</v>
      </c>
      <c r="I721" t="s">
        <v>1368</v>
      </c>
      <c r="J721" t="s">
        <v>1363</v>
      </c>
    </row>
    <row r="722" spans="1:10" x14ac:dyDescent="0.3">
      <c r="A722" s="21">
        <v>45796</v>
      </c>
      <c r="B722" t="s">
        <v>1045</v>
      </c>
      <c r="C722" t="s">
        <v>14</v>
      </c>
      <c r="D722">
        <v>6</v>
      </c>
      <c r="E722">
        <v>381</v>
      </c>
      <c r="F722">
        <v>2286</v>
      </c>
      <c r="G722" t="s">
        <v>27</v>
      </c>
      <c r="H722">
        <v>2025</v>
      </c>
      <c r="I722" t="s">
        <v>1368</v>
      </c>
      <c r="J722" t="s">
        <v>1363</v>
      </c>
    </row>
    <row r="723" spans="1:10" x14ac:dyDescent="0.3">
      <c r="A723" s="21">
        <v>45797</v>
      </c>
      <c r="B723" t="s">
        <v>746</v>
      </c>
      <c r="C723" t="s">
        <v>38</v>
      </c>
      <c r="D723">
        <v>1</v>
      </c>
      <c r="E723">
        <v>788</v>
      </c>
      <c r="F723">
        <v>788</v>
      </c>
      <c r="G723" t="s">
        <v>19</v>
      </c>
      <c r="H723">
        <v>2025</v>
      </c>
      <c r="I723" t="s">
        <v>1368</v>
      </c>
      <c r="J723" t="s">
        <v>1353</v>
      </c>
    </row>
    <row r="724" spans="1:10" x14ac:dyDescent="0.3">
      <c r="A724" s="21">
        <v>45797</v>
      </c>
      <c r="B724" t="s">
        <v>1186</v>
      </c>
      <c r="C724" t="s">
        <v>38</v>
      </c>
      <c r="D724">
        <v>3</v>
      </c>
      <c r="E724">
        <v>642</v>
      </c>
      <c r="F724">
        <v>1926</v>
      </c>
      <c r="G724" t="s">
        <v>7</v>
      </c>
      <c r="H724">
        <v>2025</v>
      </c>
      <c r="I724" t="s">
        <v>1368</v>
      </c>
      <c r="J724" t="s">
        <v>1353</v>
      </c>
    </row>
    <row r="725" spans="1:10" x14ac:dyDescent="0.3">
      <c r="A725" s="21">
        <v>45799</v>
      </c>
      <c r="B725" t="s">
        <v>853</v>
      </c>
      <c r="C725" t="s">
        <v>6</v>
      </c>
      <c r="D725">
        <v>6</v>
      </c>
      <c r="E725">
        <v>407</v>
      </c>
      <c r="F725">
        <v>2442</v>
      </c>
      <c r="G725" t="s">
        <v>33</v>
      </c>
      <c r="H725">
        <v>2025</v>
      </c>
      <c r="I725" t="s">
        <v>1368</v>
      </c>
      <c r="J725" t="s">
        <v>1356</v>
      </c>
    </row>
    <row r="726" spans="1:10" x14ac:dyDescent="0.3">
      <c r="A726" s="21">
        <v>45799</v>
      </c>
      <c r="B726" t="s">
        <v>874</v>
      </c>
      <c r="C726" t="s">
        <v>38</v>
      </c>
      <c r="D726">
        <v>5</v>
      </c>
      <c r="E726">
        <v>781</v>
      </c>
      <c r="F726">
        <v>3905</v>
      </c>
      <c r="G726" t="s">
        <v>11</v>
      </c>
      <c r="H726">
        <v>2025</v>
      </c>
      <c r="I726" t="s">
        <v>1368</v>
      </c>
      <c r="J726" t="s">
        <v>1356</v>
      </c>
    </row>
    <row r="727" spans="1:10" x14ac:dyDescent="0.3">
      <c r="A727" s="21">
        <v>45800</v>
      </c>
      <c r="B727" t="s">
        <v>1199</v>
      </c>
      <c r="C727" t="s">
        <v>18</v>
      </c>
      <c r="D727">
        <v>2</v>
      </c>
      <c r="E727">
        <v>533</v>
      </c>
      <c r="F727">
        <v>1066</v>
      </c>
      <c r="G727" t="s">
        <v>11</v>
      </c>
      <c r="H727">
        <v>2025</v>
      </c>
      <c r="I727" t="s">
        <v>1368</v>
      </c>
      <c r="J727" t="s">
        <v>1366</v>
      </c>
    </row>
    <row r="728" spans="1:10" x14ac:dyDescent="0.3">
      <c r="A728" s="21">
        <v>45800</v>
      </c>
      <c r="B728" t="s">
        <v>719</v>
      </c>
      <c r="C728" t="s">
        <v>30</v>
      </c>
      <c r="D728">
        <v>5</v>
      </c>
      <c r="E728">
        <v>739</v>
      </c>
      <c r="F728">
        <v>3695</v>
      </c>
      <c r="G728" t="s">
        <v>7</v>
      </c>
      <c r="H728">
        <v>2025</v>
      </c>
      <c r="I728" t="s">
        <v>1368</v>
      </c>
      <c r="J728" t="s">
        <v>1366</v>
      </c>
    </row>
    <row r="729" spans="1:10" x14ac:dyDescent="0.3">
      <c r="A729" s="21">
        <v>45800</v>
      </c>
      <c r="B729" t="s">
        <v>305</v>
      </c>
      <c r="C729" t="s">
        <v>14</v>
      </c>
      <c r="D729">
        <v>5</v>
      </c>
      <c r="E729">
        <v>861</v>
      </c>
      <c r="F729">
        <v>4305</v>
      </c>
      <c r="G729" t="s">
        <v>15</v>
      </c>
      <c r="H729">
        <v>2025</v>
      </c>
      <c r="I729" t="s">
        <v>1368</v>
      </c>
      <c r="J729" t="s">
        <v>1366</v>
      </c>
    </row>
    <row r="730" spans="1:10" x14ac:dyDescent="0.3">
      <c r="A730" s="21">
        <v>45801</v>
      </c>
      <c r="B730" t="s">
        <v>455</v>
      </c>
      <c r="C730" t="s">
        <v>24</v>
      </c>
      <c r="D730">
        <v>2</v>
      </c>
      <c r="E730">
        <v>133</v>
      </c>
      <c r="F730">
        <v>266</v>
      </c>
      <c r="G730" t="s">
        <v>19</v>
      </c>
      <c r="H730">
        <v>2025</v>
      </c>
      <c r="I730" t="s">
        <v>1368</v>
      </c>
      <c r="J730" t="s">
        <v>1359</v>
      </c>
    </row>
    <row r="731" spans="1:10" x14ac:dyDescent="0.3">
      <c r="A731" s="21">
        <v>45802</v>
      </c>
      <c r="B731" t="s">
        <v>831</v>
      </c>
      <c r="C731" t="s">
        <v>68</v>
      </c>
      <c r="D731">
        <v>6</v>
      </c>
      <c r="E731">
        <v>674</v>
      </c>
      <c r="F731">
        <v>4044</v>
      </c>
      <c r="G731" t="s">
        <v>19</v>
      </c>
      <c r="H731">
        <v>2025</v>
      </c>
      <c r="I731" t="s">
        <v>1368</v>
      </c>
      <c r="J731" t="s">
        <v>1361</v>
      </c>
    </row>
    <row r="732" spans="1:10" x14ac:dyDescent="0.3">
      <c r="A732" s="21">
        <v>45804</v>
      </c>
      <c r="B732" t="s">
        <v>126</v>
      </c>
      <c r="C732" t="s">
        <v>6</v>
      </c>
      <c r="D732">
        <v>3</v>
      </c>
      <c r="E732">
        <v>126</v>
      </c>
      <c r="F732">
        <v>378</v>
      </c>
      <c r="G732" t="s">
        <v>7</v>
      </c>
      <c r="H732">
        <v>2025</v>
      </c>
      <c r="I732" t="s">
        <v>1368</v>
      </c>
      <c r="J732" t="s">
        <v>1353</v>
      </c>
    </row>
    <row r="733" spans="1:10" x14ac:dyDescent="0.3">
      <c r="A733" s="21">
        <v>45804</v>
      </c>
      <c r="B733" t="s">
        <v>661</v>
      </c>
      <c r="C733" t="s">
        <v>10</v>
      </c>
      <c r="D733">
        <v>4</v>
      </c>
      <c r="E733">
        <v>253</v>
      </c>
      <c r="F733">
        <v>1012</v>
      </c>
      <c r="G733" t="s">
        <v>33</v>
      </c>
      <c r="H733">
        <v>2025</v>
      </c>
      <c r="I733" t="s">
        <v>1368</v>
      </c>
      <c r="J733" t="s">
        <v>1353</v>
      </c>
    </row>
    <row r="734" spans="1:10" x14ac:dyDescent="0.3">
      <c r="A734" s="21">
        <v>45805</v>
      </c>
      <c r="B734" t="s">
        <v>753</v>
      </c>
      <c r="C734" t="s">
        <v>30</v>
      </c>
      <c r="D734">
        <v>2</v>
      </c>
      <c r="E734">
        <v>694</v>
      </c>
      <c r="F734">
        <v>1388</v>
      </c>
      <c r="G734" t="s">
        <v>7</v>
      </c>
      <c r="H734">
        <v>2025</v>
      </c>
      <c r="I734" t="s">
        <v>1368</v>
      </c>
      <c r="J734" t="s">
        <v>1358</v>
      </c>
    </row>
    <row r="735" spans="1:10" x14ac:dyDescent="0.3">
      <c r="A735" s="21">
        <v>45806</v>
      </c>
      <c r="B735" t="s">
        <v>726</v>
      </c>
      <c r="C735" t="s">
        <v>79</v>
      </c>
      <c r="D735">
        <v>1</v>
      </c>
      <c r="E735">
        <v>970</v>
      </c>
      <c r="F735">
        <v>970</v>
      </c>
      <c r="G735" t="s">
        <v>19</v>
      </c>
      <c r="H735">
        <v>2025</v>
      </c>
      <c r="I735" t="s">
        <v>1368</v>
      </c>
      <c r="J735" t="s">
        <v>1356</v>
      </c>
    </row>
    <row r="736" spans="1:10" x14ac:dyDescent="0.3">
      <c r="A736" s="21">
        <v>45806</v>
      </c>
      <c r="B736" t="s">
        <v>698</v>
      </c>
      <c r="C736" t="s">
        <v>10</v>
      </c>
      <c r="D736">
        <v>5</v>
      </c>
      <c r="E736">
        <v>912</v>
      </c>
      <c r="F736">
        <v>4560</v>
      </c>
      <c r="G736" t="s">
        <v>7</v>
      </c>
      <c r="H736">
        <v>2025</v>
      </c>
      <c r="I736" t="s">
        <v>1368</v>
      </c>
      <c r="J736" t="s">
        <v>1356</v>
      </c>
    </row>
    <row r="737" spans="1:10" x14ac:dyDescent="0.3">
      <c r="A737" s="21">
        <v>45808</v>
      </c>
      <c r="B737" t="s">
        <v>1053</v>
      </c>
      <c r="C737" t="s">
        <v>18</v>
      </c>
      <c r="D737">
        <v>2</v>
      </c>
      <c r="E737">
        <v>821</v>
      </c>
      <c r="F737">
        <v>1642</v>
      </c>
      <c r="G737" t="s">
        <v>27</v>
      </c>
      <c r="H737">
        <v>2025</v>
      </c>
      <c r="I737" t="s">
        <v>1368</v>
      </c>
      <c r="J737" t="s">
        <v>1359</v>
      </c>
    </row>
    <row r="738" spans="1:10" x14ac:dyDescent="0.3">
      <c r="A738" s="21">
        <v>45809</v>
      </c>
      <c r="B738" t="s">
        <v>821</v>
      </c>
      <c r="C738" t="s">
        <v>24</v>
      </c>
      <c r="D738">
        <v>1</v>
      </c>
      <c r="E738">
        <v>938</v>
      </c>
      <c r="F738">
        <v>938</v>
      </c>
      <c r="G738" t="s">
        <v>7</v>
      </c>
      <c r="H738">
        <v>2025</v>
      </c>
      <c r="I738" t="s">
        <v>1369</v>
      </c>
      <c r="J738" t="s">
        <v>1361</v>
      </c>
    </row>
    <row r="739" spans="1:10" x14ac:dyDescent="0.3">
      <c r="A739" s="21">
        <v>45809</v>
      </c>
      <c r="B739" t="s">
        <v>101</v>
      </c>
      <c r="C739" t="s">
        <v>14</v>
      </c>
      <c r="D739">
        <v>4</v>
      </c>
      <c r="E739">
        <v>409</v>
      </c>
      <c r="F739">
        <v>1636</v>
      </c>
      <c r="G739" t="s">
        <v>11</v>
      </c>
      <c r="H739">
        <v>2025</v>
      </c>
      <c r="I739" t="s">
        <v>1369</v>
      </c>
      <c r="J739" t="s">
        <v>1361</v>
      </c>
    </row>
    <row r="740" spans="1:10" x14ac:dyDescent="0.3">
      <c r="A740" s="21">
        <v>45810</v>
      </c>
      <c r="B740" t="s">
        <v>1191</v>
      </c>
      <c r="C740" t="s">
        <v>65</v>
      </c>
      <c r="D740">
        <v>4</v>
      </c>
      <c r="E740">
        <v>402</v>
      </c>
      <c r="F740">
        <v>1608</v>
      </c>
      <c r="G740" t="s">
        <v>7</v>
      </c>
      <c r="H740">
        <v>2025</v>
      </c>
      <c r="I740" t="s">
        <v>1369</v>
      </c>
      <c r="J740" t="s">
        <v>1363</v>
      </c>
    </row>
    <row r="741" spans="1:10" x14ac:dyDescent="0.3">
      <c r="A741" s="21">
        <v>45811</v>
      </c>
      <c r="B741" t="s">
        <v>309</v>
      </c>
      <c r="C741" t="s">
        <v>10</v>
      </c>
      <c r="D741">
        <v>4</v>
      </c>
      <c r="E741">
        <v>292</v>
      </c>
      <c r="F741">
        <v>1168</v>
      </c>
      <c r="G741" t="s">
        <v>11</v>
      </c>
      <c r="H741">
        <v>2025</v>
      </c>
      <c r="I741" t="s">
        <v>1369</v>
      </c>
      <c r="J741" t="s">
        <v>1353</v>
      </c>
    </row>
    <row r="742" spans="1:10" x14ac:dyDescent="0.3">
      <c r="A742" s="21">
        <v>45811</v>
      </c>
      <c r="B742" t="s">
        <v>597</v>
      </c>
      <c r="C742" t="s">
        <v>10</v>
      </c>
      <c r="D742">
        <v>4</v>
      </c>
      <c r="E742">
        <v>738</v>
      </c>
      <c r="F742">
        <v>2952</v>
      </c>
      <c r="G742" t="s">
        <v>33</v>
      </c>
      <c r="H742">
        <v>2025</v>
      </c>
      <c r="I742" t="s">
        <v>1369</v>
      </c>
      <c r="J742" t="s">
        <v>1353</v>
      </c>
    </row>
    <row r="743" spans="1:10" x14ac:dyDescent="0.3">
      <c r="A743" s="21">
        <v>45812</v>
      </c>
      <c r="B743" t="s">
        <v>764</v>
      </c>
      <c r="C743" t="s">
        <v>79</v>
      </c>
      <c r="D743">
        <v>5</v>
      </c>
      <c r="E743">
        <v>298</v>
      </c>
      <c r="F743">
        <v>1490</v>
      </c>
      <c r="G743" t="s">
        <v>33</v>
      </c>
      <c r="H743">
        <v>2025</v>
      </c>
      <c r="I743" t="s">
        <v>1369</v>
      </c>
      <c r="J743" t="s">
        <v>1358</v>
      </c>
    </row>
    <row r="744" spans="1:10" x14ac:dyDescent="0.3">
      <c r="A744" s="21">
        <v>45812</v>
      </c>
      <c r="B744" t="s">
        <v>1158</v>
      </c>
      <c r="C744" t="s">
        <v>18</v>
      </c>
      <c r="D744">
        <v>2</v>
      </c>
      <c r="E744">
        <v>970</v>
      </c>
      <c r="F744">
        <v>1940</v>
      </c>
      <c r="G744" t="s">
        <v>11</v>
      </c>
      <c r="H744">
        <v>2025</v>
      </c>
      <c r="I744" t="s">
        <v>1369</v>
      </c>
      <c r="J744" t="s">
        <v>1358</v>
      </c>
    </row>
    <row r="745" spans="1:10" x14ac:dyDescent="0.3">
      <c r="A745" s="21">
        <v>45813</v>
      </c>
      <c r="B745" t="s">
        <v>130</v>
      </c>
      <c r="C745" t="s">
        <v>18</v>
      </c>
      <c r="D745">
        <v>6</v>
      </c>
      <c r="E745">
        <v>702</v>
      </c>
      <c r="F745">
        <v>4212</v>
      </c>
      <c r="G745" t="s">
        <v>11</v>
      </c>
      <c r="H745">
        <v>2025</v>
      </c>
      <c r="I745" t="s">
        <v>1369</v>
      </c>
      <c r="J745" t="s">
        <v>1356</v>
      </c>
    </row>
    <row r="746" spans="1:10" x14ac:dyDescent="0.3">
      <c r="A746" s="21">
        <v>45817</v>
      </c>
      <c r="B746" t="s">
        <v>566</v>
      </c>
      <c r="C746" t="s">
        <v>14</v>
      </c>
      <c r="D746">
        <v>1</v>
      </c>
      <c r="E746">
        <v>577</v>
      </c>
      <c r="F746">
        <v>577</v>
      </c>
      <c r="G746" t="s">
        <v>33</v>
      </c>
      <c r="H746">
        <v>2025</v>
      </c>
      <c r="I746" t="s">
        <v>1369</v>
      </c>
      <c r="J746" t="s">
        <v>1363</v>
      </c>
    </row>
    <row r="747" spans="1:10" x14ac:dyDescent="0.3">
      <c r="A747" s="21">
        <v>45819</v>
      </c>
      <c r="B747" t="s">
        <v>431</v>
      </c>
      <c r="C747" t="s">
        <v>65</v>
      </c>
      <c r="D747">
        <v>1</v>
      </c>
      <c r="E747">
        <v>207</v>
      </c>
      <c r="F747">
        <v>207</v>
      </c>
      <c r="G747" t="s">
        <v>27</v>
      </c>
      <c r="H747">
        <v>2025</v>
      </c>
      <c r="I747" t="s">
        <v>1369</v>
      </c>
      <c r="J747" t="s">
        <v>1358</v>
      </c>
    </row>
    <row r="748" spans="1:10" x14ac:dyDescent="0.3">
      <c r="A748" s="21">
        <v>45819</v>
      </c>
      <c r="B748" t="s">
        <v>703</v>
      </c>
      <c r="C748" t="s">
        <v>79</v>
      </c>
      <c r="D748">
        <v>1</v>
      </c>
      <c r="E748">
        <v>569</v>
      </c>
      <c r="F748">
        <v>569</v>
      </c>
      <c r="G748" t="s">
        <v>11</v>
      </c>
      <c r="H748">
        <v>2025</v>
      </c>
      <c r="I748" t="s">
        <v>1369</v>
      </c>
      <c r="J748" t="s">
        <v>1358</v>
      </c>
    </row>
    <row r="749" spans="1:10" x14ac:dyDescent="0.3">
      <c r="A749" s="21">
        <v>45819</v>
      </c>
      <c r="B749" t="s">
        <v>429</v>
      </c>
      <c r="C749" t="s">
        <v>18</v>
      </c>
      <c r="D749">
        <v>2</v>
      </c>
      <c r="E749">
        <v>656</v>
      </c>
      <c r="F749">
        <v>1312</v>
      </c>
      <c r="G749" t="s">
        <v>19</v>
      </c>
      <c r="H749">
        <v>2025</v>
      </c>
      <c r="I749" t="s">
        <v>1369</v>
      </c>
      <c r="J749" t="s">
        <v>1358</v>
      </c>
    </row>
    <row r="750" spans="1:10" x14ac:dyDescent="0.3">
      <c r="A750" s="21">
        <v>45819</v>
      </c>
      <c r="B750" t="s">
        <v>430</v>
      </c>
      <c r="C750" t="s">
        <v>6</v>
      </c>
      <c r="D750">
        <v>6</v>
      </c>
      <c r="E750">
        <v>644</v>
      </c>
      <c r="F750">
        <v>3864</v>
      </c>
      <c r="G750" t="s">
        <v>15</v>
      </c>
      <c r="H750">
        <v>2025</v>
      </c>
      <c r="I750" t="s">
        <v>1369</v>
      </c>
      <c r="J750" t="s">
        <v>1358</v>
      </c>
    </row>
    <row r="751" spans="1:10" x14ac:dyDescent="0.3">
      <c r="A751" s="21">
        <v>45820</v>
      </c>
      <c r="B751" t="s">
        <v>583</v>
      </c>
      <c r="C751" t="s">
        <v>79</v>
      </c>
      <c r="D751">
        <v>5</v>
      </c>
      <c r="E751">
        <v>270</v>
      </c>
      <c r="F751">
        <v>1350</v>
      </c>
      <c r="G751" t="s">
        <v>11</v>
      </c>
      <c r="H751">
        <v>2025</v>
      </c>
      <c r="I751" t="s">
        <v>1369</v>
      </c>
      <c r="J751" t="s">
        <v>1356</v>
      </c>
    </row>
    <row r="752" spans="1:10" x14ac:dyDescent="0.3">
      <c r="A752" s="21">
        <v>45820</v>
      </c>
      <c r="B752" t="s">
        <v>411</v>
      </c>
      <c r="C752" t="s">
        <v>79</v>
      </c>
      <c r="D752">
        <v>4</v>
      </c>
      <c r="E752">
        <v>700</v>
      </c>
      <c r="F752">
        <v>2800</v>
      </c>
      <c r="G752" t="s">
        <v>27</v>
      </c>
      <c r="H752">
        <v>2025</v>
      </c>
      <c r="I752" t="s">
        <v>1369</v>
      </c>
      <c r="J752" t="s">
        <v>1356</v>
      </c>
    </row>
    <row r="753" spans="1:10" x14ac:dyDescent="0.3">
      <c r="A753" s="21">
        <v>45821</v>
      </c>
      <c r="B753" t="s">
        <v>573</v>
      </c>
      <c r="C753" t="s">
        <v>6</v>
      </c>
      <c r="D753">
        <v>1</v>
      </c>
      <c r="E753">
        <v>559</v>
      </c>
      <c r="F753">
        <v>559</v>
      </c>
      <c r="G753" t="s">
        <v>7</v>
      </c>
      <c r="H753">
        <v>2025</v>
      </c>
      <c r="I753" t="s">
        <v>1369</v>
      </c>
      <c r="J753" t="s">
        <v>1366</v>
      </c>
    </row>
    <row r="754" spans="1:10" x14ac:dyDescent="0.3">
      <c r="A754" s="21">
        <v>45821</v>
      </c>
      <c r="B754" t="s">
        <v>762</v>
      </c>
      <c r="C754" t="s">
        <v>79</v>
      </c>
      <c r="D754">
        <v>2</v>
      </c>
      <c r="E754">
        <v>747</v>
      </c>
      <c r="F754">
        <v>1494</v>
      </c>
      <c r="G754" t="s">
        <v>33</v>
      </c>
      <c r="H754">
        <v>2025</v>
      </c>
      <c r="I754" t="s">
        <v>1369</v>
      </c>
      <c r="J754" t="s">
        <v>1366</v>
      </c>
    </row>
    <row r="755" spans="1:10" x14ac:dyDescent="0.3">
      <c r="A755" s="21">
        <v>45822</v>
      </c>
      <c r="B755" t="s">
        <v>1302</v>
      </c>
      <c r="C755" t="s">
        <v>18</v>
      </c>
      <c r="D755">
        <v>6</v>
      </c>
      <c r="E755">
        <v>289</v>
      </c>
      <c r="F755">
        <v>1734</v>
      </c>
      <c r="G755" t="s">
        <v>33</v>
      </c>
      <c r="H755">
        <v>2025</v>
      </c>
      <c r="I755" t="s">
        <v>1369</v>
      </c>
      <c r="J755" t="s">
        <v>1359</v>
      </c>
    </row>
    <row r="756" spans="1:10" x14ac:dyDescent="0.3">
      <c r="A756" s="21">
        <v>45822</v>
      </c>
      <c r="B756" t="s">
        <v>421</v>
      </c>
      <c r="C756" t="s">
        <v>65</v>
      </c>
      <c r="D756">
        <v>4</v>
      </c>
      <c r="E756">
        <v>679</v>
      </c>
      <c r="F756">
        <v>2716</v>
      </c>
      <c r="G756" t="s">
        <v>15</v>
      </c>
      <c r="H756">
        <v>2025</v>
      </c>
      <c r="I756" t="s">
        <v>1369</v>
      </c>
      <c r="J756" t="s">
        <v>1359</v>
      </c>
    </row>
    <row r="757" spans="1:10" x14ac:dyDescent="0.3">
      <c r="A757" s="21">
        <v>45823</v>
      </c>
      <c r="B757" t="s">
        <v>1261</v>
      </c>
      <c r="C757" t="s">
        <v>38</v>
      </c>
      <c r="D757">
        <v>2</v>
      </c>
      <c r="E757">
        <v>243</v>
      </c>
      <c r="F757">
        <v>486</v>
      </c>
      <c r="G757" t="s">
        <v>15</v>
      </c>
      <c r="H757">
        <v>2025</v>
      </c>
      <c r="I757" t="s">
        <v>1369</v>
      </c>
      <c r="J757" t="s">
        <v>1361</v>
      </c>
    </row>
    <row r="758" spans="1:10" x14ac:dyDescent="0.3">
      <c r="A758" s="21">
        <v>45824</v>
      </c>
      <c r="B758" t="s">
        <v>1303</v>
      </c>
      <c r="C758" t="s">
        <v>24</v>
      </c>
      <c r="D758">
        <v>2</v>
      </c>
      <c r="E758">
        <v>885</v>
      </c>
      <c r="F758">
        <v>1770</v>
      </c>
      <c r="G758" t="s">
        <v>15</v>
      </c>
      <c r="H758">
        <v>2025</v>
      </c>
      <c r="I758" t="s">
        <v>1369</v>
      </c>
      <c r="J758" t="s">
        <v>1363</v>
      </c>
    </row>
    <row r="759" spans="1:10" x14ac:dyDescent="0.3">
      <c r="A759" s="21">
        <v>45824</v>
      </c>
      <c r="B759" t="s">
        <v>790</v>
      </c>
      <c r="C759" t="s">
        <v>10</v>
      </c>
      <c r="D759">
        <v>3</v>
      </c>
      <c r="E759">
        <v>943</v>
      </c>
      <c r="F759">
        <v>2829</v>
      </c>
      <c r="G759" t="s">
        <v>33</v>
      </c>
      <c r="H759">
        <v>2025</v>
      </c>
      <c r="I759" t="s">
        <v>1369</v>
      </c>
      <c r="J759" t="s">
        <v>1363</v>
      </c>
    </row>
    <row r="760" spans="1:10" x14ac:dyDescent="0.3">
      <c r="A760" s="21">
        <v>45825</v>
      </c>
      <c r="B760" t="s">
        <v>1144</v>
      </c>
      <c r="C760" t="s">
        <v>10</v>
      </c>
      <c r="D760">
        <v>3</v>
      </c>
      <c r="E760">
        <v>203</v>
      </c>
      <c r="F760">
        <v>609</v>
      </c>
      <c r="G760" t="s">
        <v>33</v>
      </c>
      <c r="H760">
        <v>2025</v>
      </c>
      <c r="I760" t="s">
        <v>1369</v>
      </c>
      <c r="J760" t="s">
        <v>1353</v>
      </c>
    </row>
    <row r="761" spans="1:10" x14ac:dyDescent="0.3">
      <c r="A761" s="21">
        <v>45826</v>
      </c>
      <c r="B761" t="s">
        <v>99</v>
      </c>
      <c r="C761" t="s">
        <v>68</v>
      </c>
      <c r="D761">
        <v>1</v>
      </c>
      <c r="E761">
        <v>504</v>
      </c>
      <c r="F761">
        <v>504</v>
      </c>
      <c r="G761" t="s">
        <v>27</v>
      </c>
      <c r="H761">
        <v>2025</v>
      </c>
      <c r="I761" t="s">
        <v>1369</v>
      </c>
      <c r="J761" t="s">
        <v>1358</v>
      </c>
    </row>
    <row r="762" spans="1:10" x14ac:dyDescent="0.3">
      <c r="A762" s="21">
        <v>45826</v>
      </c>
      <c r="B762" t="s">
        <v>1122</v>
      </c>
      <c r="C762" t="s">
        <v>14</v>
      </c>
      <c r="D762">
        <v>2</v>
      </c>
      <c r="E762">
        <v>660</v>
      </c>
      <c r="F762">
        <v>1320</v>
      </c>
      <c r="G762" t="s">
        <v>27</v>
      </c>
      <c r="H762">
        <v>2025</v>
      </c>
      <c r="I762" t="s">
        <v>1369</v>
      </c>
      <c r="J762" t="s">
        <v>1358</v>
      </c>
    </row>
    <row r="763" spans="1:10" x14ac:dyDescent="0.3">
      <c r="A763" s="21">
        <v>45826</v>
      </c>
      <c r="B763" t="s">
        <v>389</v>
      </c>
      <c r="C763" t="s">
        <v>65</v>
      </c>
      <c r="D763">
        <v>4</v>
      </c>
      <c r="E763">
        <v>580</v>
      </c>
      <c r="F763">
        <v>2320</v>
      </c>
      <c r="G763" t="s">
        <v>19</v>
      </c>
      <c r="H763">
        <v>2025</v>
      </c>
      <c r="I763" t="s">
        <v>1369</v>
      </c>
      <c r="J763" t="s">
        <v>1358</v>
      </c>
    </row>
    <row r="764" spans="1:10" x14ac:dyDescent="0.3">
      <c r="A764" s="21">
        <v>45827</v>
      </c>
      <c r="B764" t="s">
        <v>1175</v>
      </c>
      <c r="C764" t="s">
        <v>18</v>
      </c>
      <c r="D764">
        <v>1</v>
      </c>
      <c r="E764">
        <v>876</v>
      </c>
      <c r="F764">
        <v>876</v>
      </c>
      <c r="G764" t="s">
        <v>27</v>
      </c>
      <c r="H764">
        <v>2025</v>
      </c>
      <c r="I764" t="s">
        <v>1369</v>
      </c>
      <c r="J764" t="s">
        <v>1356</v>
      </c>
    </row>
    <row r="765" spans="1:10" x14ac:dyDescent="0.3">
      <c r="A765" s="21">
        <v>45827</v>
      </c>
      <c r="B765" t="s">
        <v>62</v>
      </c>
      <c r="C765" t="s">
        <v>18</v>
      </c>
      <c r="D765">
        <v>2</v>
      </c>
      <c r="E765">
        <v>666</v>
      </c>
      <c r="F765">
        <v>1332</v>
      </c>
      <c r="G765" t="s">
        <v>11</v>
      </c>
      <c r="H765">
        <v>2025</v>
      </c>
      <c r="I765" t="s">
        <v>1369</v>
      </c>
      <c r="J765" t="s">
        <v>1356</v>
      </c>
    </row>
    <row r="766" spans="1:10" x14ac:dyDescent="0.3">
      <c r="A766" s="21">
        <v>45828</v>
      </c>
      <c r="B766" t="s">
        <v>323</v>
      </c>
      <c r="C766" t="s">
        <v>24</v>
      </c>
      <c r="D766">
        <v>3</v>
      </c>
      <c r="E766">
        <v>872</v>
      </c>
      <c r="F766">
        <v>2616</v>
      </c>
      <c r="G766" t="s">
        <v>33</v>
      </c>
      <c r="H766">
        <v>2025</v>
      </c>
      <c r="I766" t="s">
        <v>1369</v>
      </c>
      <c r="J766" t="s">
        <v>1366</v>
      </c>
    </row>
    <row r="767" spans="1:10" x14ac:dyDescent="0.3">
      <c r="A767" s="21">
        <v>45829</v>
      </c>
      <c r="B767" t="s">
        <v>777</v>
      </c>
      <c r="C767" t="s">
        <v>10</v>
      </c>
      <c r="D767">
        <v>6</v>
      </c>
      <c r="E767">
        <v>639</v>
      </c>
      <c r="F767">
        <v>3834</v>
      </c>
      <c r="G767" t="s">
        <v>15</v>
      </c>
      <c r="H767">
        <v>2025</v>
      </c>
      <c r="I767" t="s">
        <v>1369</v>
      </c>
      <c r="J767" t="s">
        <v>1359</v>
      </c>
    </row>
    <row r="768" spans="1:10" x14ac:dyDescent="0.3">
      <c r="A768" s="21">
        <v>45830</v>
      </c>
      <c r="B768" t="s">
        <v>1137</v>
      </c>
      <c r="C768" t="s">
        <v>65</v>
      </c>
      <c r="D768">
        <v>5</v>
      </c>
      <c r="E768">
        <v>898</v>
      </c>
      <c r="F768">
        <v>4490</v>
      </c>
      <c r="G768" t="s">
        <v>7</v>
      </c>
      <c r="H768">
        <v>2025</v>
      </c>
      <c r="I768" t="s">
        <v>1369</v>
      </c>
      <c r="J768" t="s">
        <v>1361</v>
      </c>
    </row>
    <row r="769" spans="1:10" x14ac:dyDescent="0.3">
      <c r="A769" s="21">
        <v>45831</v>
      </c>
      <c r="B769" t="s">
        <v>1289</v>
      </c>
      <c r="C769" t="s">
        <v>79</v>
      </c>
      <c r="D769">
        <v>3</v>
      </c>
      <c r="E769">
        <v>808</v>
      </c>
      <c r="F769">
        <v>2424</v>
      </c>
      <c r="G769" t="s">
        <v>11</v>
      </c>
      <c r="H769">
        <v>2025</v>
      </c>
      <c r="I769" t="s">
        <v>1369</v>
      </c>
      <c r="J769" t="s">
        <v>1363</v>
      </c>
    </row>
    <row r="770" spans="1:10" x14ac:dyDescent="0.3">
      <c r="A770" s="21">
        <v>45832</v>
      </c>
      <c r="B770" t="s">
        <v>327</v>
      </c>
      <c r="C770" t="s">
        <v>24</v>
      </c>
      <c r="D770">
        <v>6</v>
      </c>
      <c r="E770">
        <v>182</v>
      </c>
      <c r="F770">
        <v>1092</v>
      </c>
      <c r="G770" t="s">
        <v>19</v>
      </c>
      <c r="H770">
        <v>2025</v>
      </c>
      <c r="I770" t="s">
        <v>1369</v>
      </c>
      <c r="J770" t="s">
        <v>1353</v>
      </c>
    </row>
    <row r="771" spans="1:10" x14ac:dyDescent="0.3">
      <c r="A771" s="21">
        <v>45832</v>
      </c>
      <c r="B771" t="s">
        <v>882</v>
      </c>
      <c r="C771" t="s">
        <v>65</v>
      </c>
      <c r="D771">
        <v>4</v>
      </c>
      <c r="E771">
        <v>312</v>
      </c>
      <c r="F771">
        <v>1248</v>
      </c>
      <c r="G771" t="s">
        <v>11</v>
      </c>
      <c r="H771">
        <v>2025</v>
      </c>
      <c r="I771" t="s">
        <v>1369</v>
      </c>
      <c r="J771" t="s">
        <v>1353</v>
      </c>
    </row>
    <row r="772" spans="1:10" x14ac:dyDescent="0.3">
      <c r="A772" s="21">
        <v>45833</v>
      </c>
      <c r="B772" t="s">
        <v>522</v>
      </c>
      <c r="C772" t="s">
        <v>14</v>
      </c>
      <c r="D772">
        <v>2</v>
      </c>
      <c r="E772">
        <v>577</v>
      </c>
      <c r="F772">
        <v>1154</v>
      </c>
      <c r="G772" t="s">
        <v>7</v>
      </c>
      <c r="H772">
        <v>2025</v>
      </c>
      <c r="I772" t="s">
        <v>1369</v>
      </c>
      <c r="J772" t="s">
        <v>1358</v>
      </c>
    </row>
    <row r="773" spans="1:10" x14ac:dyDescent="0.3">
      <c r="A773" s="21">
        <v>45833</v>
      </c>
      <c r="B773" t="s">
        <v>47</v>
      </c>
      <c r="C773" t="s">
        <v>18</v>
      </c>
      <c r="D773">
        <v>4</v>
      </c>
      <c r="E773">
        <v>581</v>
      </c>
      <c r="F773">
        <v>2324</v>
      </c>
      <c r="G773" t="s">
        <v>15</v>
      </c>
      <c r="H773">
        <v>2025</v>
      </c>
      <c r="I773" t="s">
        <v>1369</v>
      </c>
      <c r="J773" t="s">
        <v>1358</v>
      </c>
    </row>
    <row r="774" spans="1:10" x14ac:dyDescent="0.3">
      <c r="A774" s="21">
        <v>45833</v>
      </c>
      <c r="B774" t="s">
        <v>44</v>
      </c>
      <c r="C774" t="s">
        <v>6</v>
      </c>
      <c r="D774">
        <v>5</v>
      </c>
      <c r="E774">
        <v>996</v>
      </c>
      <c r="F774">
        <v>4980</v>
      </c>
      <c r="G774" t="s">
        <v>15</v>
      </c>
      <c r="H774">
        <v>2025</v>
      </c>
      <c r="I774" t="s">
        <v>1369</v>
      </c>
      <c r="J774" t="s">
        <v>1358</v>
      </c>
    </row>
    <row r="775" spans="1:10" x14ac:dyDescent="0.3">
      <c r="A775" s="21">
        <v>45834</v>
      </c>
      <c r="B775" t="s">
        <v>654</v>
      </c>
      <c r="C775" t="s">
        <v>18</v>
      </c>
      <c r="D775">
        <v>4</v>
      </c>
      <c r="E775">
        <v>397</v>
      </c>
      <c r="F775">
        <v>1588</v>
      </c>
      <c r="G775" t="s">
        <v>19</v>
      </c>
      <c r="H775">
        <v>2025</v>
      </c>
      <c r="I775" t="s">
        <v>1369</v>
      </c>
      <c r="J775" t="s">
        <v>1356</v>
      </c>
    </row>
    <row r="776" spans="1:10" x14ac:dyDescent="0.3">
      <c r="A776" s="21">
        <v>45835</v>
      </c>
      <c r="B776" t="s">
        <v>163</v>
      </c>
      <c r="C776" t="s">
        <v>18</v>
      </c>
      <c r="D776">
        <v>3</v>
      </c>
      <c r="E776">
        <v>847</v>
      </c>
      <c r="F776">
        <v>2541</v>
      </c>
      <c r="G776" t="s">
        <v>27</v>
      </c>
      <c r="H776">
        <v>2025</v>
      </c>
      <c r="I776" t="s">
        <v>1369</v>
      </c>
      <c r="J776" t="s">
        <v>1366</v>
      </c>
    </row>
    <row r="777" spans="1:10" x14ac:dyDescent="0.3">
      <c r="A777" s="21">
        <v>45836</v>
      </c>
      <c r="B777" t="s">
        <v>490</v>
      </c>
      <c r="C777" t="s">
        <v>6</v>
      </c>
      <c r="D777">
        <v>2</v>
      </c>
      <c r="E777">
        <v>514</v>
      </c>
      <c r="F777">
        <v>1028</v>
      </c>
      <c r="G777" t="s">
        <v>11</v>
      </c>
      <c r="H777">
        <v>2025</v>
      </c>
      <c r="I777" t="s">
        <v>1369</v>
      </c>
      <c r="J777" t="s">
        <v>1359</v>
      </c>
    </row>
    <row r="778" spans="1:10" x14ac:dyDescent="0.3">
      <c r="A778" s="21">
        <v>45836</v>
      </c>
      <c r="B778" t="s">
        <v>489</v>
      </c>
      <c r="C778" t="s">
        <v>30</v>
      </c>
      <c r="D778">
        <v>4</v>
      </c>
      <c r="E778">
        <v>354</v>
      </c>
      <c r="F778">
        <v>1416</v>
      </c>
      <c r="G778" t="s">
        <v>15</v>
      </c>
      <c r="H778">
        <v>2025</v>
      </c>
      <c r="I778" t="s">
        <v>1369</v>
      </c>
      <c r="J778" t="s">
        <v>1359</v>
      </c>
    </row>
    <row r="779" spans="1:10" x14ac:dyDescent="0.3">
      <c r="A779" s="21">
        <v>45836</v>
      </c>
      <c r="B779" t="s">
        <v>1311</v>
      </c>
      <c r="C779" t="s">
        <v>65</v>
      </c>
      <c r="D779">
        <v>6</v>
      </c>
      <c r="E779">
        <v>888</v>
      </c>
      <c r="F779">
        <v>5328</v>
      </c>
      <c r="G779" t="s">
        <v>27</v>
      </c>
      <c r="H779">
        <v>2025</v>
      </c>
      <c r="I779" t="s">
        <v>1369</v>
      </c>
      <c r="J779" t="s">
        <v>1359</v>
      </c>
    </row>
    <row r="780" spans="1:10" x14ac:dyDescent="0.3">
      <c r="A780" s="21">
        <v>45837</v>
      </c>
      <c r="B780" t="s">
        <v>798</v>
      </c>
      <c r="C780" t="s">
        <v>68</v>
      </c>
      <c r="D780">
        <v>2</v>
      </c>
      <c r="E780">
        <v>191</v>
      </c>
      <c r="F780">
        <v>382</v>
      </c>
      <c r="G780" t="s">
        <v>33</v>
      </c>
      <c r="H780">
        <v>2025</v>
      </c>
      <c r="I780" t="s">
        <v>1369</v>
      </c>
      <c r="J780" t="s">
        <v>1361</v>
      </c>
    </row>
    <row r="781" spans="1:10" x14ac:dyDescent="0.3">
      <c r="A781" s="21">
        <v>45837</v>
      </c>
      <c r="B781" t="s">
        <v>571</v>
      </c>
      <c r="C781" t="s">
        <v>30</v>
      </c>
      <c r="D781">
        <v>4</v>
      </c>
      <c r="E781">
        <v>551</v>
      </c>
      <c r="F781">
        <v>2204</v>
      </c>
      <c r="G781" t="s">
        <v>19</v>
      </c>
      <c r="H781">
        <v>2025</v>
      </c>
      <c r="I781" t="s">
        <v>1369</v>
      </c>
      <c r="J781" t="s">
        <v>1361</v>
      </c>
    </row>
    <row r="782" spans="1:10" x14ac:dyDescent="0.3">
      <c r="A782" s="21">
        <v>45840</v>
      </c>
      <c r="B782" t="s">
        <v>1007</v>
      </c>
      <c r="C782" t="s">
        <v>38</v>
      </c>
      <c r="D782">
        <v>2</v>
      </c>
      <c r="E782">
        <v>165</v>
      </c>
      <c r="F782">
        <v>330</v>
      </c>
      <c r="G782" t="s">
        <v>7</v>
      </c>
      <c r="H782">
        <v>2025</v>
      </c>
      <c r="I782" t="s">
        <v>1360</v>
      </c>
      <c r="J782" t="s">
        <v>1358</v>
      </c>
    </row>
    <row r="783" spans="1:10" x14ac:dyDescent="0.3">
      <c r="A783" s="21">
        <v>45841</v>
      </c>
      <c r="B783" t="s">
        <v>1253</v>
      </c>
      <c r="C783" t="s">
        <v>38</v>
      </c>
      <c r="D783">
        <v>2</v>
      </c>
      <c r="E783">
        <v>285</v>
      </c>
      <c r="F783">
        <v>570</v>
      </c>
      <c r="G783" t="s">
        <v>33</v>
      </c>
      <c r="H783">
        <v>2025</v>
      </c>
      <c r="I783" t="s">
        <v>1360</v>
      </c>
      <c r="J783" t="s">
        <v>1356</v>
      </c>
    </row>
    <row r="784" spans="1:10" x14ac:dyDescent="0.3">
      <c r="A784" s="21">
        <v>45841</v>
      </c>
      <c r="B784" t="s">
        <v>394</v>
      </c>
      <c r="C784" t="s">
        <v>18</v>
      </c>
      <c r="D784">
        <v>4</v>
      </c>
      <c r="E784">
        <v>215</v>
      </c>
      <c r="F784">
        <v>860</v>
      </c>
      <c r="G784" t="s">
        <v>11</v>
      </c>
      <c r="H784">
        <v>2025</v>
      </c>
      <c r="I784" t="s">
        <v>1360</v>
      </c>
      <c r="J784" t="s">
        <v>1356</v>
      </c>
    </row>
    <row r="785" spans="1:10" x14ac:dyDescent="0.3">
      <c r="A785" s="21">
        <v>45843</v>
      </c>
      <c r="B785" t="s">
        <v>332</v>
      </c>
      <c r="C785" t="s">
        <v>30</v>
      </c>
      <c r="D785">
        <v>2</v>
      </c>
      <c r="E785">
        <v>138</v>
      </c>
      <c r="F785">
        <v>276</v>
      </c>
      <c r="G785" t="s">
        <v>11</v>
      </c>
      <c r="H785">
        <v>2025</v>
      </c>
      <c r="I785" t="s">
        <v>1360</v>
      </c>
      <c r="J785" t="s">
        <v>1359</v>
      </c>
    </row>
    <row r="786" spans="1:10" x14ac:dyDescent="0.3">
      <c r="A786" s="21">
        <v>45843</v>
      </c>
      <c r="B786" t="s">
        <v>1274</v>
      </c>
      <c r="C786" t="s">
        <v>6</v>
      </c>
      <c r="D786">
        <v>5</v>
      </c>
      <c r="E786">
        <v>66</v>
      </c>
      <c r="F786">
        <v>330</v>
      </c>
      <c r="G786" t="s">
        <v>7</v>
      </c>
      <c r="H786">
        <v>2025</v>
      </c>
      <c r="I786" t="s">
        <v>1360</v>
      </c>
      <c r="J786" t="s">
        <v>1359</v>
      </c>
    </row>
    <row r="787" spans="1:10" x14ac:dyDescent="0.3">
      <c r="A787" s="21">
        <v>45843</v>
      </c>
      <c r="B787" t="s">
        <v>233</v>
      </c>
      <c r="C787" t="s">
        <v>6</v>
      </c>
      <c r="D787">
        <v>2</v>
      </c>
      <c r="E787">
        <v>506</v>
      </c>
      <c r="F787">
        <v>1012</v>
      </c>
      <c r="G787" t="s">
        <v>15</v>
      </c>
      <c r="H787">
        <v>2025</v>
      </c>
      <c r="I787" t="s">
        <v>1360</v>
      </c>
      <c r="J787" t="s">
        <v>1359</v>
      </c>
    </row>
    <row r="788" spans="1:10" x14ac:dyDescent="0.3">
      <c r="A788" s="21">
        <v>45843</v>
      </c>
      <c r="B788" t="s">
        <v>1273</v>
      </c>
      <c r="C788" t="s">
        <v>6</v>
      </c>
      <c r="D788">
        <v>5</v>
      </c>
      <c r="E788">
        <v>960</v>
      </c>
      <c r="F788">
        <v>4800</v>
      </c>
      <c r="G788" t="s">
        <v>7</v>
      </c>
      <c r="H788">
        <v>2025</v>
      </c>
      <c r="I788" t="s">
        <v>1360</v>
      </c>
      <c r="J788" t="s">
        <v>1359</v>
      </c>
    </row>
    <row r="789" spans="1:10" x14ac:dyDescent="0.3">
      <c r="A789" s="21">
        <v>45844</v>
      </c>
      <c r="B789" t="s">
        <v>611</v>
      </c>
      <c r="C789" t="s">
        <v>6</v>
      </c>
      <c r="D789">
        <v>6</v>
      </c>
      <c r="E789">
        <v>320</v>
      </c>
      <c r="F789">
        <v>1920</v>
      </c>
      <c r="G789" t="s">
        <v>7</v>
      </c>
      <c r="H789">
        <v>2025</v>
      </c>
      <c r="I789" t="s">
        <v>1360</v>
      </c>
      <c r="J789" t="s">
        <v>1361</v>
      </c>
    </row>
    <row r="790" spans="1:10" x14ac:dyDescent="0.3">
      <c r="A790" s="21">
        <v>45845</v>
      </c>
      <c r="B790" t="s">
        <v>868</v>
      </c>
      <c r="C790" t="s">
        <v>79</v>
      </c>
      <c r="D790">
        <v>1</v>
      </c>
      <c r="E790">
        <v>841</v>
      </c>
      <c r="F790">
        <v>841</v>
      </c>
      <c r="G790" t="s">
        <v>11</v>
      </c>
      <c r="H790">
        <v>2025</v>
      </c>
      <c r="I790" t="s">
        <v>1360</v>
      </c>
      <c r="J790" t="s">
        <v>1363</v>
      </c>
    </row>
    <row r="791" spans="1:10" x14ac:dyDescent="0.3">
      <c r="A791" s="21">
        <v>45845</v>
      </c>
      <c r="B791" t="s">
        <v>141</v>
      </c>
      <c r="C791" t="s">
        <v>14</v>
      </c>
      <c r="D791">
        <v>5</v>
      </c>
      <c r="E791">
        <v>745</v>
      </c>
      <c r="F791">
        <v>3725</v>
      </c>
      <c r="G791" t="s">
        <v>27</v>
      </c>
      <c r="H791">
        <v>2025</v>
      </c>
      <c r="I791" t="s">
        <v>1360</v>
      </c>
      <c r="J791" t="s">
        <v>1363</v>
      </c>
    </row>
    <row r="792" spans="1:10" x14ac:dyDescent="0.3">
      <c r="A792" s="21">
        <v>45846</v>
      </c>
      <c r="B792" t="s">
        <v>514</v>
      </c>
      <c r="C792" t="s">
        <v>68</v>
      </c>
      <c r="D792">
        <v>2</v>
      </c>
      <c r="E792">
        <v>376</v>
      </c>
      <c r="F792">
        <v>752</v>
      </c>
      <c r="G792" t="s">
        <v>33</v>
      </c>
      <c r="H792">
        <v>2025</v>
      </c>
      <c r="I792" t="s">
        <v>1360</v>
      </c>
      <c r="J792" t="s">
        <v>1353</v>
      </c>
    </row>
    <row r="793" spans="1:10" x14ac:dyDescent="0.3">
      <c r="A793" s="21">
        <v>45846</v>
      </c>
      <c r="B793" t="s">
        <v>1051</v>
      </c>
      <c r="C793" t="s">
        <v>18</v>
      </c>
      <c r="D793">
        <v>5</v>
      </c>
      <c r="E793">
        <v>507</v>
      </c>
      <c r="F793">
        <v>2535</v>
      </c>
      <c r="G793" t="s">
        <v>7</v>
      </c>
      <c r="H793">
        <v>2025</v>
      </c>
      <c r="I793" t="s">
        <v>1360</v>
      </c>
      <c r="J793" t="s">
        <v>1353</v>
      </c>
    </row>
    <row r="794" spans="1:10" x14ac:dyDescent="0.3">
      <c r="A794" s="21">
        <v>45847</v>
      </c>
      <c r="B794" t="s">
        <v>636</v>
      </c>
      <c r="C794" t="s">
        <v>6</v>
      </c>
      <c r="D794">
        <v>5</v>
      </c>
      <c r="E794">
        <v>511</v>
      </c>
      <c r="F794">
        <v>2555</v>
      </c>
      <c r="G794" t="s">
        <v>7</v>
      </c>
      <c r="H794">
        <v>2025</v>
      </c>
      <c r="I794" t="s">
        <v>1360</v>
      </c>
      <c r="J794" t="s">
        <v>1358</v>
      </c>
    </row>
    <row r="795" spans="1:10" x14ac:dyDescent="0.3">
      <c r="A795" s="21">
        <v>45848</v>
      </c>
      <c r="B795" t="s">
        <v>944</v>
      </c>
      <c r="C795" t="s">
        <v>18</v>
      </c>
      <c r="D795">
        <v>4</v>
      </c>
      <c r="E795">
        <v>979</v>
      </c>
      <c r="F795">
        <v>3916</v>
      </c>
      <c r="G795" t="s">
        <v>27</v>
      </c>
      <c r="H795">
        <v>2025</v>
      </c>
      <c r="I795" t="s">
        <v>1360</v>
      </c>
      <c r="J795" t="s">
        <v>1356</v>
      </c>
    </row>
    <row r="796" spans="1:10" x14ac:dyDescent="0.3">
      <c r="A796" s="21">
        <v>45850</v>
      </c>
      <c r="B796" t="s">
        <v>594</v>
      </c>
      <c r="C796" t="s">
        <v>38</v>
      </c>
      <c r="D796">
        <v>6</v>
      </c>
      <c r="E796">
        <v>953</v>
      </c>
      <c r="F796">
        <v>5718</v>
      </c>
      <c r="G796" t="s">
        <v>33</v>
      </c>
      <c r="H796">
        <v>2025</v>
      </c>
      <c r="I796" t="s">
        <v>1360</v>
      </c>
      <c r="J796" t="s">
        <v>1359</v>
      </c>
    </row>
    <row r="797" spans="1:10" x14ac:dyDescent="0.3">
      <c r="A797" s="21">
        <v>45851</v>
      </c>
      <c r="B797" t="s">
        <v>851</v>
      </c>
      <c r="C797" t="s">
        <v>6</v>
      </c>
      <c r="D797">
        <v>1</v>
      </c>
      <c r="E797">
        <v>374</v>
      </c>
      <c r="F797">
        <v>374</v>
      </c>
      <c r="G797" t="s">
        <v>11</v>
      </c>
      <c r="H797">
        <v>2025</v>
      </c>
      <c r="I797" t="s">
        <v>1360</v>
      </c>
      <c r="J797" t="s">
        <v>1361</v>
      </c>
    </row>
    <row r="798" spans="1:10" x14ac:dyDescent="0.3">
      <c r="A798" s="21">
        <v>45852</v>
      </c>
      <c r="B798" t="s">
        <v>1290</v>
      </c>
      <c r="C798" t="s">
        <v>65</v>
      </c>
      <c r="D798">
        <v>2</v>
      </c>
      <c r="E798">
        <v>95</v>
      </c>
      <c r="F798">
        <v>190</v>
      </c>
      <c r="G798" t="s">
        <v>11</v>
      </c>
      <c r="H798">
        <v>2025</v>
      </c>
      <c r="I798" t="s">
        <v>1360</v>
      </c>
      <c r="J798" t="s">
        <v>1363</v>
      </c>
    </row>
    <row r="799" spans="1:10" x14ac:dyDescent="0.3">
      <c r="A799" s="21">
        <v>45852</v>
      </c>
      <c r="B799" t="s">
        <v>825</v>
      </c>
      <c r="C799" t="s">
        <v>30</v>
      </c>
      <c r="D799">
        <v>6</v>
      </c>
      <c r="E799">
        <v>708</v>
      </c>
      <c r="F799">
        <v>4248</v>
      </c>
      <c r="G799" t="s">
        <v>19</v>
      </c>
      <c r="H799">
        <v>2025</v>
      </c>
      <c r="I799" t="s">
        <v>1360</v>
      </c>
      <c r="J799" t="s">
        <v>1363</v>
      </c>
    </row>
    <row r="800" spans="1:10" x14ac:dyDescent="0.3">
      <c r="A800" s="21">
        <v>45853</v>
      </c>
      <c r="B800" t="s">
        <v>630</v>
      </c>
      <c r="C800" t="s">
        <v>79</v>
      </c>
      <c r="D800">
        <v>3</v>
      </c>
      <c r="E800">
        <v>125</v>
      </c>
      <c r="F800">
        <v>375</v>
      </c>
      <c r="G800" t="s">
        <v>15</v>
      </c>
      <c r="H800">
        <v>2025</v>
      </c>
      <c r="I800" t="s">
        <v>1360</v>
      </c>
      <c r="J800" t="s">
        <v>1353</v>
      </c>
    </row>
    <row r="801" spans="1:10" x14ac:dyDescent="0.3">
      <c r="A801" s="21">
        <v>45854</v>
      </c>
      <c r="B801" t="s">
        <v>188</v>
      </c>
      <c r="C801" t="s">
        <v>18</v>
      </c>
      <c r="D801">
        <v>1</v>
      </c>
      <c r="E801">
        <v>831</v>
      </c>
      <c r="F801">
        <v>831</v>
      </c>
      <c r="G801" t="s">
        <v>33</v>
      </c>
      <c r="H801">
        <v>2025</v>
      </c>
      <c r="I801" t="s">
        <v>1360</v>
      </c>
      <c r="J801" t="s">
        <v>1358</v>
      </c>
    </row>
    <row r="802" spans="1:10" x14ac:dyDescent="0.3">
      <c r="A802" s="21">
        <v>45855</v>
      </c>
      <c r="B802" t="s">
        <v>518</v>
      </c>
      <c r="C802" t="s">
        <v>14</v>
      </c>
      <c r="D802">
        <v>1</v>
      </c>
      <c r="E802">
        <v>458</v>
      </c>
      <c r="F802">
        <v>458</v>
      </c>
      <c r="G802" t="s">
        <v>11</v>
      </c>
      <c r="H802">
        <v>2025</v>
      </c>
      <c r="I802" t="s">
        <v>1360</v>
      </c>
      <c r="J802" t="s">
        <v>1356</v>
      </c>
    </row>
    <row r="803" spans="1:10" x14ac:dyDescent="0.3">
      <c r="A803" s="21">
        <v>45855</v>
      </c>
      <c r="B803" t="s">
        <v>926</v>
      </c>
      <c r="C803" t="s">
        <v>38</v>
      </c>
      <c r="D803">
        <v>6</v>
      </c>
      <c r="E803">
        <v>613</v>
      </c>
      <c r="F803">
        <v>3678</v>
      </c>
      <c r="G803" t="s">
        <v>15</v>
      </c>
      <c r="H803">
        <v>2025</v>
      </c>
      <c r="I803" t="s">
        <v>1360</v>
      </c>
      <c r="J803" t="s">
        <v>1356</v>
      </c>
    </row>
    <row r="804" spans="1:10" x14ac:dyDescent="0.3">
      <c r="A804" s="21">
        <v>45856</v>
      </c>
      <c r="B804" t="s">
        <v>975</v>
      </c>
      <c r="C804" t="s">
        <v>10</v>
      </c>
      <c r="D804">
        <v>4</v>
      </c>
      <c r="E804">
        <v>943</v>
      </c>
      <c r="F804">
        <v>3772</v>
      </c>
      <c r="G804" t="s">
        <v>27</v>
      </c>
      <c r="H804">
        <v>2025</v>
      </c>
      <c r="I804" t="s">
        <v>1360</v>
      </c>
      <c r="J804" t="s">
        <v>1366</v>
      </c>
    </row>
    <row r="805" spans="1:10" x14ac:dyDescent="0.3">
      <c r="A805" s="21">
        <v>45857</v>
      </c>
      <c r="B805" t="s">
        <v>669</v>
      </c>
      <c r="C805" t="s">
        <v>79</v>
      </c>
      <c r="D805">
        <v>3</v>
      </c>
      <c r="E805">
        <v>91</v>
      </c>
      <c r="F805">
        <v>273</v>
      </c>
      <c r="G805" t="s">
        <v>11</v>
      </c>
      <c r="H805">
        <v>2025</v>
      </c>
      <c r="I805" t="s">
        <v>1360</v>
      </c>
      <c r="J805" t="s">
        <v>1359</v>
      </c>
    </row>
    <row r="806" spans="1:10" x14ac:dyDescent="0.3">
      <c r="A806" s="21">
        <v>45857</v>
      </c>
      <c r="B806" t="s">
        <v>958</v>
      </c>
      <c r="C806" t="s">
        <v>6</v>
      </c>
      <c r="D806">
        <v>2</v>
      </c>
      <c r="E806">
        <v>993</v>
      </c>
      <c r="F806">
        <v>1986</v>
      </c>
      <c r="G806" t="s">
        <v>15</v>
      </c>
      <c r="H806">
        <v>2025</v>
      </c>
      <c r="I806" t="s">
        <v>1360</v>
      </c>
      <c r="J806" t="s">
        <v>1359</v>
      </c>
    </row>
    <row r="807" spans="1:10" x14ac:dyDescent="0.3">
      <c r="A807" s="21">
        <v>45858</v>
      </c>
      <c r="B807" t="s">
        <v>1193</v>
      </c>
      <c r="C807" t="s">
        <v>18</v>
      </c>
      <c r="D807">
        <v>3</v>
      </c>
      <c r="E807">
        <v>115</v>
      </c>
      <c r="F807">
        <v>345</v>
      </c>
      <c r="G807" t="s">
        <v>15</v>
      </c>
      <c r="H807">
        <v>2025</v>
      </c>
      <c r="I807" t="s">
        <v>1360</v>
      </c>
      <c r="J807" t="s">
        <v>1361</v>
      </c>
    </row>
    <row r="808" spans="1:10" x14ac:dyDescent="0.3">
      <c r="A808" s="21">
        <v>45859</v>
      </c>
      <c r="B808" t="s">
        <v>671</v>
      </c>
      <c r="C808" t="s">
        <v>14</v>
      </c>
      <c r="D808">
        <v>4</v>
      </c>
      <c r="E808">
        <v>96</v>
      </c>
      <c r="F808">
        <v>384</v>
      </c>
      <c r="G808" t="s">
        <v>11</v>
      </c>
      <c r="H808">
        <v>2025</v>
      </c>
      <c r="I808" t="s">
        <v>1360</v>
      </c>
      <c r="J808" t="s">
        <v>1363</v>
      </c>
    </row>
    <row r="809" spans="1:10" x14ac:dyDescent="0.3">
      <c r="A809" s="21">
        <v>45859</v>
      </c>
      <c r="B809" t="s">
        <v>679</v>
      </c>
      <c r="C809" t="s">
        <v>79</v>
      </c>
      <c r="D809">
        <v>4</v>
      </c>
      <c r="E809">
        <v>581</v>
      </c>
      <c r="F809">
        <v>2324</v>
      </c>
      <c r="G809" t="s">
        <v>19</v>
      </c>
      <c r="H809">
        <v>2025</v>
      </c>
      <c r="I809" t="s">
        <v>1360</v>
      </c>
      <c r="J809" t="s">
        <v>1363</v>
      </c>
    </row>
    <row r="810" spans="1:10" x14ac:dyDescent="0.3">
      <c r="A810" s="21">
        <v>45860</v>
      </c>
      <c r="B810" t="s">
        <v>649</v>
      </c>
      <c r="C810" t="s">
        <v>24</v>
      </c>
      <c r="D810">
        <v>5</v>
      </c>
      <c r="E810">
        <v>453</v>
      </c>
      <c r="F810">
        <v>2265</v>
      </c>
      <c r="G810" t="s">
        <v>11</v>
      </c>
      <c r="H810">
        <v>2025</v>
      </c>
      <c r="I810" t="s">
        <v>1360</v>
      </c>
      <c r="J810" t="s">
        <v>1353</v>
      </c>
    </row>
    <row r="811" spans="1:10" x14ac:dyDescent="0.3">
      <c r="A811" s="21">
        <v>45860</v>
      </c>
      <c r="B811" t="s">
        <v>862</v>
      </c>
      <c r="C811" t="s">
        <v>38</v>
      </c>
      <c r="D811">
        <v>5</v>
      </c>
      <c r="E811">
        <v>606</v>
      </c>
      <c r="F811">
        <v>3030</v>
      </c>
      <c r="G811" t="s">
        <v>11</v>
      </c>
      <c r="H811">
        <v>2025</v>
      </c>
      <c r="I811" t="s">
        <v>1360</v>
      </c>
      <c r="J811" t="s">
        <v>1353</v>
      </c>
    </row>
    <row r="812" spans="1:10" x14ac:dyDescent="0.3">
      <c r="A812" s="21">
        <v>45861</v>
      </c>
      <c r="B812" t="s">
        <v>94</v>
      </c>
      <c r="C812" t="s">
        <v>6</v>
      </c>
      <c r="D812">
        <v>5</v>
      </c>
      <c r="E812">
        <v>486</v>
      </c>
      <c r="F812">
        <v>2430</v>
      </c>
      <c r="G812" t="s">
        <v>11</v>
      </c>
      <c r="H812">
        <v>2025</v>
      </c>
      <c r="I812" t="s">
        <v>1360</v>
      </c>
      <c r="J812" t="s">
        <v>1358</v>
      </c>
    </row>
    <row r="813" spans="1:10" x14ac:dyDescent="0.3">
      <c r="A813" s="21">
        <v>45861</v>
      </c>
      <c r="B813" t="s">
        <v>265</v>
      </c>
      <c r="C813" t="s">
        <v>38</v>
      </c>
      <c r="D813">
        <v>6</v>
      </c>
      <c r="E813">
        <v>915</v>
      </c>
      <c r="F813">
        <v>5490</v>
      </c>
      <c r="G813" t="s">
        <v>33</v>
      </c>
      <c r="H813">
        <v>2025</v>
      </c>
      <c r="I813" t="s">
        <v>1360</v>
      </c>
      <c r="J813" t="s">
        <v>1358</v>
      </c>
    </row>
    <row r="814" spans="1:10" x14ac:dyDescent="0.3">
      <c r="A814" s="21">
        <v>45863</v>
      </c>
      <c r="B814" t="s">
        <v>410</v>
      </c>
      <c r="C814" t="s">
        <v>38</v>
      </c>
      <c r="D814">
        <v>5</v>
      </c>
      <c r="E814">
        <v>251</v>
      </c>
      <c r="F814">
        <v>1255</v>
      </c>
      <c r="G814" t="s">
        <v>11</v>
      </c>
      <c r="H814">
        <v>2025</v>
      </c>
      <c r="I814" t="s">
        <v>1360</v>
      </c>
      <c r="J814" t="s">
        <v>1366</v>
      </c>
    </row>
    <row r="815" spans="1:10" x14ac:dyDescent="0.3">
      <c r="A815" s="21">
        <v>45863</v>
      </c>
      <c r="B815" t="s">
        <v>46</v>
      </c>
      <c r="C815" t="s">
        <v>38</v>
      </c>
      <c r="D815">
        <v>3</v>
      </c>
      <c r="E815">
        <v>896</v>
      </c>
      <c r="F815">
        <v>2688</v>
      </c>
      <c r="G815" t="s">
        <v>27</v>
      </c>
      <c r="H815">
        <v>2025</v>
      </c>
      <c r="I815" t="s">
        <v>1360</v>
      </c>
      <c r="J815" t="s">
        <v>1366</v>
      </c>
    </row>
    <row r="816" spans="1:10" x14ac:dyDescent="0.3">
      <c r="A816" s="21">
        <v>45864</v>
      </c>
      <c r="B816" t="s">
        <v>1066</v>
      </c>
      <c r="C816" t="s">
        <v>14</v>
      </c>
      <c r="D816">
        <v>4</v>
      </c>
      <c r="E816">
        <v>759</v>
      </c>
      <c r="F816">
        <v>3036</v>
      </c>
      <c r="G816" t="s">
        <v>33</v>
      </c>
      <c r="H816">
        <v>2025</v>
      </c>
      <c r="I816" t="s">
        <v>1360</v>
      </c>
      <c r="J816" t="s">
        <v>1359</v>
      </c>
    </row>
    <row r="817" spans="1:10" x14ac:dyDescent="0.3">
      <c r="A817" s="21">
        <v>45867</v>
      </c>
      <c r="B817" t="s">
        <v>170</v>
      </c>
      <c r="C817" t="s">
        <v>30</v>
      </c>
      <c r="D817">
        <v>4</v>
      </c>
      <c r="E817">
        <v>442</v>
      </c>
      <c r="F817">
        <v>1768</v>
      </c>
      <c r="G817" t="s">
        <v>27</v>
      </c>
      <c r="H817">
        <v>2025</v>
      </c>
      <c r="I817" t="s">
        <v>1360</v>
      </c>
      <c r="J817" t="s">
        <v>1353</v>
      </c>
    </row>
    <row r="818" spans="1:10" x14ac:dyDescent="0.3">
      <c r="A818" s="21">
        <v>45869</v>
      </c>
      <c r="B818" t="s">
        <v>1276</v>
      </c>
      <c r="C818" t="s">
        <v>14</v>
      </c>
      <c r="D818">
        <v>5</v>
      </c>
      <c r="E818">
        <v>296</v>
      </c>
      <c r="F818">
        <v>1480</v>
      </c>
      <c r="G818" t="s">
        <v>15</v>
      </c>
      <c r="H818">
        <v>2025</v>
      </c>
      <c r="I818" t="s">
        <v>1360</v>
      </c>
      <c r="J818" t="s">
        <v>1356</v>
      </c>
    </row>
    <row r="819" spans="1:10" x14ac:dyDescent="0.3">
      <c r="A819" s="21">
        <v>45871</v>
      </c>
      <c r="B819" t="s">
        <v>76</v>
      </c>
      <c r="C819" t="s">
        <v>38</v>
      </c>
      <c r="D819">
        <v>6</v>
      </c>
      <c r="E819">
        <v>155</v>
      </c>
      <c r="F819">
        <v>930</v>
      </c>
      <c r="G819" t="s">
        <v>15</v>
      </c>
      <c r="H819">
        <v>2025</v>
      </c>
      <c r="I819" t="s">
        <v>1362</v>
      </c>
      <c r="J819" t="s">
        <v>1359</v>
      </c>
    </row>
    <row r="820" spans="1:10" x14ac:dyDescent="0.3">
      <c r="A820" s="21">
        <v>45872</v>
      </c>
      <c r="B820" t="s">
        <v>417</v>
      </c>
      <c r="C820" t="s">
        <v>18</v>
      </c>
      <c r="D820">
        <v>6</v>
      </c>
      <c r="E820">
        <v>690</v>
      </c>
      <c r="F820">
        <v>4140</v>
      </c>
      <c r="G820" t="s">
        <v>33</v>
      </c>
      <c r="H820">
        <v>2025</v>
      </c>
      <c r="I820" t="s">
        <v>1362</v>
      </c>
      <c r="J820" t="s">
        <v>1361</v>
      </c>
    </row>
    <row r="821" spans="1:10" x14ac:dyDescent="0.3">
      <c r="A821" s="21">
        <v>45873</v>
      </c>
      <c r="B821" t="s">
        <v>913</v>
      </c>
      <c r="C821" t="s">
        <v>38</v>
      </c>
      <c r="D821">
        <v>3</v>
      </c>
      <c r="E821">
        <v>103</v>
      </c>
      <c r="F821">
        <v>309</v>
      </c>
      <c r="G821" t="s">
        <v>19</v>
      </c>
      <c r="H821">
        <v>2025</v>
      </c>
      <c r="I821" t="s">
        <v>1362</v>
      </c>
      <c r="J821" t="s">
        <v>1363</v>
      </c>
    </row>
    <row r="822" spans="1:10" x14ac:dyDescent="0.3">
      <c r="A822" s="21">
        <v>45873</v>
      </c>
      <c r="B822" t="s">
        <v>916</v>
      </c>
      <c r="C822" t="s">
        <v>10</v>
      </c>
      <c r="D822">
        <v>5</v>
      </c>
      <c r="E822">
        <v>388</v>
      </c>
      <c r="F822">
        <v>1940</v>
      </c>
      <c r="G822" t="s">
        <v>11</v>
      </c>
      <c r="H822">
        <v>2025</v>
      </c>
      <c r="I822" t="s">
        <v>1362</v>
      </c>
      <c r="J822" t="s">
        <v>1363</v>
      </c>
    </row>
    <row r="823" spans="1:10" x14ac:dyDescent="0.3">
      <c r="A823" s="21">
        <v>45873</v>
      </c>
      <c r="B823" t="s">
        <v>1292</v>
      </c>
      <c r="C823" t="s">
        <v>10</v>
      </c>
      <c r="D823">
        <v>6</v>
      </c>
      <c r="E823">
        <v>499</v>
      </c>
      <c r="F823">
        <v>2994</v>
      </c>
      <c r="G823" t="s">
        <v>7</v>
      </c>
      <c r="H823">
        <v>2025</v>
      </c>
      <c r="I823" t="s">
        <v>1362</v>
      </c>
      <c r="J823" t="s">
        <v>1363</v>
      </c>
    </row>
    <row r="824" spans="1:10" x14ac:dyDescent="0.3">
      <c r="A824" s="21">
        <v>45874</v>
      </c>
      <c r="B824" t="s">
        <v>40</v>
      </c>
      <c r="C824" t="s">
        <v>10</v>
      </c>
      <c r="D824">
        <v>3</v>
      </c>
      <c r="E824">
        <v>559</v>
      </c>
      <c r="F824">
        <v>1677</v>
      </c>
      <c r="G824" t="s">
        <v>33</v>
      </c>
      <c r="H824">
        <v>2025</v>
      </c>
      <c r="I824" t="s">
        <v>1362</v>
      </c>
      <c r="J824" t="s">
        <v>1353</v>
      </c>
    </row>
    <row r="825" spans="1:10" x14ac:dyDescent="0.3">
      <c r="A825" s="21">
        <v>45875</v>
      </c>
      <c r="B825" t="s">
        <v>1202</v>
      </c>
      <c r="C825" t="s">
        <v>68</v>
      </c>
      <c r="D825">
        <v>3</v>
      </c>
      <c r="E825">
        <v>343</v>
      </c>
      <c r="F825">
        <v>1029</v>
      </c>
      <c r="G825" t="s">
        <v>27</v>
      </c>
      <c r="H825">
        <v>2025</v>
      </c>
      <c r="I825" t="s">
        <v>1362</v>
      </c>
      <c r="J825" t="s">
        <v>1358</v>
      </c>
    </row>
    <row r="826" spans="1:10" x14ac:dyDescent="0.3">
      <c r="A826" s="21">
        <v>45876</v>
      </c>
      <c r="B826" t="s">
        <v>527</v>
      </c>
      <c r="C826" t="s">
        <v>65</v>
      </c>
      <c r="D826">
        <v>5</v>
      </c>
      <c r="E826">
        <v>297</v>
      </c>
      <c r="F826">
        <v>1485</v>
      </c>
      <c r="G826" t="s">
        <v>15</v>
      </c>
      <c r="H826">
        <v>2025</v>
      </c>
      <c r="I826" t="s">
        <v>1362</v>
      </c>
      <c r="J826" t="s">
        <v>1356</v>
      </c>
    </row>
    <row r="827" spans="1:10" x14ac:dyDescent="0.3">
      <c r="A827" s="21">
        <v>45876</v>
      </c>
      <c r="B827" t="s">
        <v>775</v>
      </c>
      <c r="C827" t="s">
        <v>30</v>
      </c>
      <c r="D827">
        <v>6</v>
      </c>
      <c r="E827">
        <v>478</v>
      </c>
      <c r="F827">
        <v>2868</v>
      </c>
      <c r="G827" t="s">
        <v>11</v>
      </c>
      <c r="H827">
        <v>2025</v>
      </c>
      <c r="I827" t="s">
        <v>1362</v>
      </c>
      <c r="J827" t="s">
        <v>1356</v>
      </c>
    </row>
    <row r="828" spans="1:10" x14ac:dyDescent="0.3">
      <c r="A828" s="21">
        <v>45877</v>
      </c>
      <c r="B828" t="s">
        <v>413</v>
      </c>
      <c r="C828" t="s">
        <v>18</v>
      </c>
      <c r="D828">
        <v>3</v>
      </c>
      <c r="E828">
        <v>331</v>
      </c>
      <c r="F828">
        <v>993</v>
      </c>
      <c r="G828" t="s">
        <v>11</v>
      </c>
      <c r="H828">
        <v>2025</v>
      </c>
      <c r="I828" t="s">
        <v>1362</v>
      </c>
      <c r="J828" t="s">
        <v>1366</v>
      </c>
    </row>
    <row r="829" spans="1:10" x14ac:dyDescent="0.3">
      <c r="A829" s="21">
        <v>45877</v>
      </c>
      <c r="B829" t="s">
        <v>54</v>
      </c>
      <c r="C829" t="s">
        <v>30</v>
      </c>
      <c r="D829">
        <v>6</v>
      </c>
      <c r="E829">
        <v>794</v>
      </c>
      <c r="F829">
        <v>4764</v>
      </c>
      <c r="G829" t="s">
        <v>27</v>
      </c>
      <c r="H829">
        <v>2025</v>
      </c>
      <c r="I829" t="s">
        <v>1362</v>
      </c>
      <c r="J829" t="s">
        <v>1366</v>
      </c>
    </row>
    <row r="830" spans="1:10" x14ac:dyDescent="0.3">
      <c r="A830" s="21">
        <v>45879</v>
      </c>
      <c r="B830" t="s">
        <v>478</v>
      </c>
      <c r="C830" t="s">
        <v>79</v>
      </c>
      <c r="D830">
        <v>4</v>
      </c>
      <c r="E830">
        <v>346</v>
      </c>
      <c r="F830">
        <v>1384</v>
      </c>
      <c r="G830" t="s">
        <v>27</v>
      </c>
      <c r="H830">
        <v>2025</v>
      </c>
      <c r="I830" t="s">
        <v>1362</v>
      </c>
      <c r="J830" t="s">
        <v>1361</v>
      </c>
    </row>
    <row r="831" spans="1:10" x14ac:dyDescent="0.3">
      <c r="A831" s="21">
        <v>45880</v>
      </c>
      <c r="B831" t="s">
        <v>948</v>
      </c>
      <c r="C831" t="s">
        <v>10</v>
      </c>
      <c r="D831">
        <v>4</v>
      </c>
      <c r="E831">
        <v>717</v>
      </c>
      <c r="F831">
        <v>2868</v>
      </c>
      <c r="G831" t="s">
        <v>33</v>
      </c>
      <c r="H831">
        <v>2025</v>
      </c>
      <c r="I831" t="s">
        <v>1362</v>
      </c>
      <c r="J831" t="s">
        <v>1363</v>
      </c>
    </row>
    <row r="832" spans="1:10" x14ac:dyDescent="0.3">
      <c r="A832" s="21">
        <v>45881</v>
      </c>
      <c r="B832" t="s">
        <v>609</v>
      </c>
      <c r="C832" t="s">
        <v>30</v>
      </c>
      <c r="D832">
        <v>1</v>
      </c>
      <c r="E832">
        <v>187</v>
      </c>
      <c r="F832">
        <v>187</v>
      </c>
      <c r="G832" t="s">
        <v>19</v>
      </c>
      <c r="H832">
        <v>2025</v>
      </c>
      <c r="I832" t="s">
        <v>1362</v>
      </c>
      <c r="J832" t="s">
        <v>1353</v>
      </c>
    </row>
    <row r="833" spans="1:10" x14ac:dyDescent="0.3">
      <c r="A833" s="21">
        <v>45882</v>
      </c>
      <c r="B833" t="s">
        <v>848</v>
      </c>
      <c r="C833" t="s">
        <v>14</v>
      </c>
      <c r="D833">
        <v>3</v>
      </c>
      <c r="E833">
        <v>771</v>
      </c>
      <c r="F833">
        <v>2313</v>
      </c>
      <c r="G833" t="s">
        <v>7</v>
      </c>
      <c r="H833">
        <v>2025</v>
      </c>
      <c r="I833" t="s">
        <v>1362</v>
      </c>
      <c r="J833" t="s">
        <v>1358</v>
      </c>
    </row>
    <row r="834" spans="1:10" x14ac:dyDescent="0.3">
      <c r="A834" s="21">
        <v>45884</v>
      </c>
      <c r="B834" t="s">
        <v>1029</v>
      </c>
      <c r="C834" t="s">
        <v>14</v>
      </c>
      <c r="D834">
        <v>3</v>
      </c>
      <c r="E834">
        <v>675</v>
      </c>
      <c r="F834">
        <v>2025</v>
      </c>
      <c r="G834" t="s">
        <v>33</v>
      </c>
      <c r="H834">
        <v>2025</v>
      </c>
      <c r="I834" t="s">
        <v>1362</v>
      </c>
      <c r="J834" t="s">
        <v>1366</v>
      </c>
    </row>
    <row r="835" spans="1:10" x14ac:dyDescent="0.3">
      <c r="A835" s="21">
        <v>45885</v>
      </c>
      <c r="B835" t="s">
        <v>1221</v>
      </c>
      <c r="C835" t="s">
        <v>65</v>
      </c>
      <c r="D835">
        <v>1</v>
      </c>
      <c r="E835">
        <v>434</v>
      </c>
      <c r="F835">
        <v>434</v>
      </c>
      <c r="G835" t="s">
        <v>27</v>
      </c>
      <c r="H835">
        <v>2025</v>
      </c>
      <c r="I835" t="s">
        <v>1362</v>
      </c>
      <c r="J835" t="s">
        <v>1359</v>
      </c>
    </row>
    <row r="836" spans="1:10" x14ac:dyDescent="0.3">
      <c r="A836" s="21">
        <v>45886</v>
      </c>
      <c r="B836" t="s">
        <v>1195</v>
      </c>
      <c r="C836" t="s">
        <v>14</v>
      </c>
      <c r="D836">
        <v>4</v>
      </c>
      <c r="E836">
        <v>111</v>
      </c>
      <c r="F836">
        <v>444</v>
      </c>
      <c r="G836" t="s">
        <v>19</v>
      </c>
      <c r="H836">
        <v>2025</v>
      </c>
      <c r="I836" t="s">
        <v>1362</v>
      </c>
      <c r="J836" t="s">
        <v>1361</v>
      </c>
    </row>
    <row r="837" spans="1:10" x14ac:dyDescent="0.3">
      <c r="A837" s="21">
        <v>45886</v>
      </c>
      <c r="B837" t="s">
        <v>616</v>
      </c>
      <c r="C837" t="s">
        <v>10</v>
      </c>
      <c r="D837">
        <v>3</v>
      </c>
      <c r="E837">
        <v>462</v>
      </c>
      <c r="F837">
        <v>1386</v>
      </c>
      <c r="G837" t="s">
        <v>33</v>
      </c>
      <c r="H837">
        <v>2025</v>
      </c>
      <c r="I837" t="s">
        <v>1362</v>
      </c>
      <c r="J837" t="s">
        <v>1361</v>
      </c>
    </row>
    <row r="838" spans="1:10" x14ac:dyDescent="0.3">
      <c r="A838" s="21">
        <v>45887</v>
      </c>
      <c r="B838" t="s">
        <v>839</v>
      </c>
      <c r="C838" t="s">
        <v>65</v>
      </c>
      <c r="D838">
        <v>1</v>
      </c>
      <c r="E838">
        <v>280</v>
      </c>
      <c r="F838">
        <v>280</v>
      </c>
      <c r="G838" t="s">
        <v>11</v>
      </c>
      <c r="H838">
        <v>2025</v>
      </c>
      <c r="I838" t="s">
        <v>1362</v>
      </c>
      <c r="J838" t="s">
        <v>1363</v>
      </c>
    </row>
    <row r="839" spans="1:10" x14ac:dyDescent="0.3">
      <c r="A839" s="21">
        <v>45887</v>
      </c>
      <c r="B839" t="s">
        <v>154</v>
      </c>
      <c r="C839" t="s">
        <v>14</v>
      </c>
      <c r="D839">
        <v>1</v>
      </c>
      <c r="E839">
        <v>850</v>
      </c>
      <c r="F839">
        <v>850</v>
      </c>
      <c r="G839" t="s">
        <v>19</v>
      </c>
      <c r="H839">
        <v>2025</v>
      </c>
      <c r="I839" t="s">
        <v>1362</v>
      </c>
      <c r="J839" t="s">
        <v>1363</v>
      </c>
    </row>
    <row r="840" spans="1:10" x14ac:dyDescent="0.3">
      <c r="A840" s="21">
        <v>45888</v>
      </c>
      <c r="B840" t="s">
        <v>1146</v>
      </c>
      <c r="C840" t="s">
        <v>24</v>
      </c>
      <c r="D840">
        <v>4</v>
      </c>
      <c r="E840">
        <v>218</v>
      </c>
      <c r="F840">
        <v>872</v>
      </c>
      <c r="G840" t="s">
        <v>7</v>
      </c>
      <c r="H840">
        <v>2025</v>
      </c>
      <c r="I840" t="s">
        <v>1362</v>
      </c>
      <c r="J840" t="s">
        <v>1353</v>
      </c>
    </row>
    <row r="841" spans="1:10" x14ac:dyDescent="0.3">
      <c r="A841" s="21">
        <v>45889</v>
      </c>
      <c r="B841" t="s">
        <v>369</v>
      </c>
      <c r="C841" t="s">
        <v>10</v>
      </c>
      <c r="D841">
        <v>5</v>
      </c>
      <c r="E841">
        <v>181</v>
      </c>
      <c r="F841">
        <v>905</v>
      </c>
      <c r="G841" t="s">
        <v>11</v>
      </c>
      <c r="H841">
        <v>2025</v>
      </c>
      <c r="I841" t="s">
        <v>1362</v>
      </c>
      <c r="J841" t="s">
        <v>1358</v>
      </c>
    </row>
    <row r="842" spans="1:10" x14ac:dyDescent="0.3">
      <c r="A842" s="21">
        <v>45889</v>
      </c>
      <c r="B842" t="s">
        <v>1248</v>
      </c>
      <c r="C842" t="s">
        <v>30</v>
      </c>
      <c r="D842">
        <v>6</v>
      </c>
      <c r="E842">
        <v>607</v>
      </c>
      <c r="F842">
        <v>3642</v>
      </c>
      <c r="G842" t="s">
        <v>19</v>
      </c>
      <c r="H842">
        <v>2025</v>
      </c>
      <c r="I842" t="s">
        <v>1362</v>
      </c>
      <c r="J842" t="s">
        <v>1358</v>
      </c>
    </row>
    <row r="843" spans="1:10" x14ac:dyDescent="0.3">
      <c r="A843" s="21">
        <v>45890</v>
      </c>
      <c r="B843" t="s">
        <v>1025</v>
      </c>
      <c r="C843" t="s">
        <v>79</v>
      </c>
      <c r="D843">
        <v>5</v>
      </c>
      <c r="E843">
        <v>740</v>
      </c>
      <c r="F843">
        <v>3700</v>
      </c>
      <c r="G843" t="s">
        <v>33</v>
      </c>
      <c r="H843">
        <v>2025</v>
      </c>
      <c r="I843" t="s">
        <v>1362</v>
      </c>
      <c r="J843" t="s">
        <v>1356</v>
      </c>
    </row>
    <row r="844" spans="1:10" x14ac:dyDescent="0.3">
      <c r="A844" s="21">
        <v>45891</v>
      </c>
      <c r="B844" t="s">
        <v>691</v>
      </c>
      <c r="C844" t="s">
        <v>10</v>
      </c>
      <c r="D844">
        <v>6</v>
      </c>
      <c r="E844">
        <v>677</v>
      </c>
      <c r="F844">
        <v>4062</v>
      </c>
      <c r="G844" t="s">
        <v>19</v>
      </c>
      <c r="H844">
        <v>2025</v>
      </c>
      <c r="I844" t="s">
        <v>1362</v>
      </c>
      <c r="J844" t="s">
        <v>1366</v>
      </c>
    </row>
    <row r="845" spans="1:10" x14ac:dyDescent="0.3">
      <c r="A845" s="21">
        <v>45892</v>
      </c>
      <c r="B845" t="s">
        <v>974</v>
      </c>
      <c r="C845" t="s">
        <v>68</v>
      </c>
      <c r="D845">
        <v>3</v>
      </c>
      <c r="E845">
        <v>816</v>
      </c>
      <c r="F845">
        <v>2448</v>
      </c>
      <c r="G845" t="s">
        <v>15</v>
      </c>
      <c r="H845">
        <v>2025</v>
      </c>
      <c r="I845" t="s">
        <v>1362</v>
      </c>
      <c r="J845" t="s">
        <v>1359</v>
      </c>
    </row>
    <row r="846" spans="1:10" x14ac:dyDescent="0.3">
      <c r="A846" s="21">
        <v>45893</v>
      </c>
      <c r="B846" t="s">
        <v>287</v>
      </c>
      <c r="C846" t="s">
        <v>24</v>
      </c>
      <c r="D846">
        <v>3</v>
      </c>
      <c r="E846">
        <v>778</v>
      </c>
      <c r="F846">
        <v>2334</v>
      </c>
      <c r="G846" t="s">
        <v>7</v>
      </c>
      <c r="H846">
        <v>2025</v>
      </c>
      <c r="I846" t="s">
        <v>1362</v>
      </c>
      <c r="J846" t="s">
        <v>1361</v>
      </c>
    </row>
    <row r="847" spans="1:10" x14ac:dyDescent="0.3">
      <c r="A847" s="21">
        <v>45896</v>
      </c>
      <c r="B847" t="s">
        <v>1100</v>
      </c>
      <c r="C847" t="s">
        <v>65</v>
      </c>
      <c r="D847">
        <v>4</v>
      </c>
      <c r="E847">
        <v>206</v>
      </c>
      <c r="F847">
        <v>824</v>
      </c>
      <c r="G847" t="s">
        <v>27</v>
      </c>
      <c r="H847">
        <v>2025</v>
      </c>
      <c r="I847" t="s">
        <v>1362</v>
      </c>
      <c r="J847" t="s">
        <v>1358</v>
      </c>
    </row>
    <row r="848" spans="1:10" x14ac:dyDescent="0.3">
      <c r="A848" s="21">
        <v>45898</v>
      </c>
      <c r="B848" t="s">
        <v>878</v>
      </c>
      <c r="C848" t="s">
        <v>10</v>
      </c>
      <c r="D848">
        <v>4</v>
      </c>
      <c r="E848">
        <v>996</v>
      </c>
      <c r="F848">
        <v>3984</v>
      </c>
      <c r="G848" t="s">
        <v>33</v>
      </c>
      <c r="H848">
        <v>2025</v>
      </c>
      <c r="I848" t="s">
        <v>1362</v>
      </c>
      <c r="J848" t="s">
        <v>1366</v>
      </c>
    </row>
    <row r="849" spans="1:10" x14ac:dyDescent="0.3">
      <c r="A849" s="21">
        <v>45899</v>
      </c>
      <c r="B849" t="s">
        <v>481</v>
      </c>
      <c r="C849" t="s">
        <v>10</v>
      </c>
      <c r="D849">
        <v>4</v>
      </c>
      <c r="E849">
        <v>359</v>
      </c>
      <c r="F849">
        <v>1436</v>
      </c>
      <c r="G849" t="s">
        <v>33</v>
      </c>
      <c r="H849">
        <v>2025</v>
      </c>
      <c r="I849" t="s">
        <v>1362</v>
      </c>
      <c r="J849" t="s">
        <v>1359</v>
      </c>
    </row>
    <row r="850" spans="1:10" x14ac:dyDescent="0.3">
      <c r="A850" s="21">
        <v>45901</v>
      </c>
      <c r="B850" t="s">
        <v>406</v>
      </c>
      <c r="C850" t="s">
        <v>10</v>
      </c>
      <c r="D850">
        <v>6</v>
      </c>
      <c r="E850">
        <v>916</v>
      </c>
      <c r="F850">
        <v>5496</v>
      </c>
      <c r="G850" t="s">
        <v>33</v>
      </c>
      <c r="H850">
        <v>2025</v>
      </c>
      <c r="I850" t="s">
        <v>1364</v>
      </c>
      <c r="J850" t="s">
        <v>1363</v>
      </c>
    </row>
    <row r="851" spans="1:10" x14ac:dyDescent="0.3">
      <c r="A851" s="21">
        <v>45902</v>
      </c>
      <c r="B851" t="s">
        <v>536</v>
      </c>
      <c r="C851" t="s">
        <v>68</v>
      </c>
      <c r="D851">
        <v>2</v>
      </c>
      <c r="E851">
        <v>194</v>
      </c>
      <c r="F851">
        <v>388</v>
      </c>
      <c r="G851" t="s">
        <v>15</v>
      </c>
      <c r="H851">
        <v>2025</v>
      </c>
      <c r="I851" t="s">
        <v>1364</v>
      </c>
      <c r="J851" t="s">
        <v>1353</v>
      </c>
    </row>
    <row r="852" spans="1:10" x14ac:dyDescent="0.3">
      <c r="A852" s="21">
        <v>45902</v>
      </c>
      <c r="B852" t="s">
        <v>917</v>
      </c>
      <c r="C852" t="s">
        <v>6</v>
      </c>
      <c r="D852">
        <v>6</v>
      </c>
      <c r="E852">
        <v>784</v>
      </c>
      <c r="F852">
        <v>4704</v>
      </c>
      <c r="G852" t="s">
        <v>11</v>
      </c>
      <c r="H852">
        <v>2025</v>
      </c>
      <c r="I852" t="s">
        <v>1364</v>
      </c>
      <c r="J852" t="s">
        <v>1353</v>
      </c>
    </row>
    <row r="853" spans="1:10" x14ac:dyDescent="0.3">
      <c r="A853" s="21">
        <v>45904</v>
      </c>
      <c r="B853" t="s">
        <v>546</v>
      </c>
      <c r="C853" t="s">
        <v>79</v>
      </c>
      <c r="D853">
        <v>2</v>
      </c>
      <c r="E853">
        <v>304</v>
      </c>
      <c r="F853">
        <v>608</v>
      </c>
      <c r="G853" t="s">
        <v>27</v>
      </c>
      <c r="H853">
        <v>2025</v>
      </c>
      <c r="I853" t="s">
        <v>1364</v>
      </c>
      <c r="J853" t="s">
        <v>1356</v>
      </c>
    </row>
    <row r="854" spans="1:10" x14ac:dyDescent="0.3">
      <c r="A854" s="21">
        <v>45906</v>
      </c>
      <c r="B854" t="s">
        <v>778</v>
      </c>
      <c r="C854" t="s">
        <v>79</v>
      </c>
      <c r="D854">
        <v>2</v>
      </c>
      <c r="E854">
        <v>472</v>
      </c>
      <c r="F854">
        <v>944</v>
      </c>
      <c r="G854" t="s">
        <v>7</v>
      </c>
      <c r="H854">
        <v>2025</v>
      </c>
      <c r="I854" t="s">
        <v>1364</v>
      </c>
      <c r="J854" t="s">
        <v>1359</v>
      </c>
    </row>
    <row r="855" spans="1:10" x14ac:dyDescent="0.3">
      <c r="A855" s="21">
        <v>45906</v>
      </c>
      <c r="B855" t="s">
        <v>1139</v>
      </c>
      <c r="C855" t="s">
        <v>6</v>
      </c>
      <c r="D855">
        <v>6</v>
      </c>
      <c r="E855">
        <v>974</v>
      </c>
      <c r="F855">
        <v>5844</v>
      </c>
      <c r="G855" t="s">
        <v>19</v>
      </c>
      <c r="H855">
        <v>2025</v>
      </c>
      <c r="I855" t="s">
        <v>1364</v>
      </c>
      <c r="J855" t="s">
        <v>1359</v>
      </c>
    </row>
    <row r="856" spans="1:10" x14ac:dyDescent="0.3">
      <c r="A856" s="21">
        <v>45907</v>
      </c>
      <c r="B856" t="s">
        <v>783</v>
      </c>
      <c r="C856" t="s">
        <v>14</v>
      </c>
      <c r="D856">
        <v>3</v>
      </c>
      <c r="E856">
        <v>563</v>
      </c>
      <c r="F856">
        <v>1689</v>
      </c>
      <c r="G856" t="s">
        <v>27</v>
      </c>
      <c r="H856">
        <v>2025</v>
      </c>
      <c r="I856" t="s">
        <v>1364</v>
      </c>
      <c r="J856" t="s">
        <v>1361</v>
      </c>
    </row>
    <row r="857" spans="1:10" x14ac:dyDescent="0.3">
      <c r="A857" s="21">
        <v>45908</v>
      </c>
      <c r="B857" t="s">
        <v>1002</v>
      </c>
      <c r="C857" t="s">
        <v>38</v>
      </c>
      <c r="D857">
        <v>5</v>
      </c>
      <c r="E857">
        <v>329</v>
      </c>
      <c r="F857">
        <v>1645</v>
      </c>
      <c r="G857" t="s">
        <v>19</v>
      </c>
      <c r="H857">
        <v>2025</v>
      </c>
      <c r="I857" t="s">
        <v>1364</v>
      </c>
      <c r="J857" t="s">
        <v>1363</v>
      </c>
    </row>
    <row r="858" spans="1:10" x14ac:dyDescent="0.3">
      <c r="A858" s="21">
        <v>45909</v>
      </c>
      <c r="B858" t="s">
        <v>1240</v>
      </c>
      <c r="C858" t="s">
        <v>68</v>
      </c>
      <c r="D858">
        <v>4</v>
      </c>
      <c r="E858">
        <v>53</v>
      </c>
      <c r="F858">
        <v>212</v>
      </c>
      <c r="G858" t="s">
        <v>15</v>
      </c>
      <c r="H858">
        <v>2025</v>
      </c>
      <c r="I858" t="s">
        <v>1364</v>
      </c>
      <c r="J858" t="s">
        <v>1353</v>
      </c>
    </row>
    <row r="859" spans="1:10" x14ac:dyDescent="0.3">
      <c r="A859" s="21">
        <v>45909</v>
      </c>
      <c r="B859" t="s">
        <v>9</v>
      </c>
      <c r="C859" t="s">
        <v>10</v>
      </c>
      <c r="D859">
        <v>6</v>
      </c>
      <c r="E859">
        <v>960</v>
      </c>
      <c r="F859">
        <v>5760</v>
      </c>
      <c r="G859" t="s">
        <v>11</v>
      </c>
      <c r="H859">
        <v>2025</v>
      </c>
      <c r="I859" t="s">
        <v>1364</v>
      </c>
      <c r="J859" t="s">
        <v>1353</v>
      </c>
    </row>
    <row r="860" spans="1:10" x14ac:dyDescent="0.3">
      <c r="A860" s="21">
        <v>45910</v>
      </c>
      <c r="B860" t="s">
        <v>766</v>
      </c>
      <c r="C860" t="s">
        <v>65</v>
      </c>
      <c r="D860">
        <v>6</v>
      </c>
      <c r="E860">
        <v>82</v>
      </c>
      <c r="F860">
        <v>492</v>
      </c>
      <c r="G860" t="s">
        <v>7</v>
      </c>
      <c r="H860">
        <v>2025</v>
      </c>
      <c r="I860" t="s">
        <v>1364</v>
      </c>
      <c r="J860" t="s">
        <v>1358</v>
      </c>
    </row>
    <row r="861" spans="1:10" x14ac:dyDescent="0.3">
      <c r="A861" s="21">
        <v>45912</v>
      </c>
      <c r="B861" t="s">
        <v>767</v>
      </c>
      <c r="C861" t="s">
        <v>65</v>
      </c>
      <c r="D861">
        <v>4</v>
      </c>
      <c r="E861">
        <v>636</v>
      </c>
      <c r="F861">
        <v>2544</v>
      </c>
      <c r="G861" t="s">
        <v>11</v>
      </c>
      <c r="H861">
        <v>2025</v>
      </c>
      <c r="I861" t="s">
        <v>1364</v>
      </c>
      <c r="J861" t="s">
        <v>1366</v>
      </c>
    </row>
    <row r="862" spans="1:10" x14ac:dyDescent="0.3">
      <c r="A862" s="21">
        <v>45913</v>
      </c>
      <c r="B862" t="s">
        <v>695</v>
      </c>
      <c r="C862" t="s">
        <v>24</v>
      </c>
      <c r="D862">
        <v>5</v>
      </c>
      <c r="E862">
        <v>452</v>
      </c>
      <c r="F862">
        <v>2260</v>
      </c>
      <c r="G862" t="s">
        <v>15</v>
      </c>
      <c r="H862">
        <v>2025</v>
      </c>
      <c r="I862" t="s">
        <v>1364</v>
      </c>
      <c r="J862" t="s">
        <v>1359</v>
      </c>
    </row>
    <row r="863" spans="1:10" x14ac:dyDescent="0.3">
      <c r="A863" s="21">
        <v>45914</v>
      </c>
      <c r="B863" t="s">
        <v>760</v>
      </c>
      <c r="C863" t="s">
        <v>68</v>
      </c>
      <c r="D863">
        <v>1</v>
      </c>
      <c r="E863">
        <v>201</v>
      </c>
      <c r="F863">
        <v>201</v>
      </c>
      <c r="G863" t="s">
        <v>33</v>
      </c>
      <c r="H863">
        <v>2025</v>
      </c>
      <c r="I863" t="s">
        <v>1364</v>
      </c>
      <c r="J863" t="s">
        <v>1361</v>
      </c>
    </row>
    <row r="864" spans="1:10" x14ac:dyDescent="0.3">
      <c r="A864" s="21">
        <v>45914</v>
      </c>
      <c r="B864" t="s">
        <v>735</v>
      </c>
      <c r="C864" t="s">
        <v>14</v>
      </c>
      <c r="D864">
        <v>2</v>
      </c>
      <c r="E864">
        <v>535</v>
      </c>
      <c r="F864">
        <v>1070</v>
      </c>
      <c r="G864" t="s">
        <v>15</v>
      </c>
      <c r="H864">
        <v>2025</v>
      </c>
      <c r="I864" t="s">
        <v>1364</v>
      </c>
      <c r="J864" t="s">
        <v>1361</v>
      </c>
    </row>
    <row r="865" spans="1:10" x14ac:dyDescent="0.3">
      <c r="A865" s="21">
        <v>45915</v>
      </c>
      <c r="B865" t="s">
        <v>476</v>
      </c>
      <c r="C865" t="s">
        <v>10</v>
      </c>
      <c r="D865">
        <v>1</v>
      </c>
      <c r="E865">
        <v>608</v>
      </c>
      <c r="F865">
        <v>608</v>
      </c>
      <c r="G865" t="s">
        <v>27</v>
      </c>
      <c r="H865">
        <v>2025</v>
      </c>
      <c r="I865" t="s">
        <v>1364</v>
      </c>
      <c r="J865" t="s">
        <v>1363</v>
      </c>
    </row>
    <row r="866" spans="1:10" x14ac:dyDescent="0.3">
      <c r="A866" s="21">
        <v>45915</v>
      </c>
      <c r="B866" t="s">
        <v>840</v>
      </c>
      <c r="C866" t="s">
        <v>14</v>
      </c>
      <c r="D866">
        <v>2</v>
      </c>
      <c r="E866">
        <v>354</v>
      </c>
      <c r="F866">
        <v>708</v>
      </c>
      <c r="G866" t="s">
        <v>27</v>
      </c>
      <c r="H866">
        <v>2025</v>
      </c>
      <c r="I866" t="s">
        <v>1364</v>
      </c>
      <c r="J866" t="s">
        <v>1363</v>
      </c>
    </row>
    <row r="867" spans="1:10" x14ac:dyDescent="0.3">
      <c r="A867" s="21">
        <v>45915</v>
      </c>
      <c r="B867" t="s">
        <v>151</v>
      </c>
      <c r="C867" t="s">
        <v>79</v>
      </c>
      <c r="D867">
        <v>4</v>
      </c>
      <c r="E867">
        <v>672</v>
      </c>
      <c r="F867">
        <v>2688</v>
      </c>
      <c r="G867" t="s">
        <v>27</v>
      </c>
      <c r="H867">
        <v>2025</v>
      </c>
      <c r="I867" t="s">
        <v>1364</v>
      </c>
      <c r="J867" t="s">
        <v>1363</v>
      </c>
    </row>
    <row r="868" spans="1:10" x14ac:dyDescent="0.3">
      <c r="A868" s="21">
        <v>45916</v>
      </c>
      <c r="B868" t="s">
        <v>1044</v>
      </c>
      <c r="C868" t="s">
        <v>79</v>
      </c>
      <c r="D868">
        <v>5</v>
      </c>
      <c r="E868">
        <v>538</v>
      </c>
      <c r="F868">
        <v>2690</v>
      </c>
      <c r="G868" t="s">
        <v>19</v>
      </c>
      <c r="H868">
        <v>2025</v>
      </c>
      <c r="I868" t="s">
        <v>1364</v>
      </c>
      <c r="J868" t="s">
        <v>1353</v>
      </c>
    </row>
    <row r="869" spans="1:10" x14ac:dyDescent="0.3">
      <c r="A869" s="21">
        <v>45917</v>
      </c>
      <c r="B869" t="s">
        <v>295</v>
      </c>
      <c r="C869" t="s">
        <v>10</v>
      </c>
      <c r="D869">
        <v>3</v>
      </c>
      <c r="E869">
        <v>862</v>
      </c>
      <c r="F869">
        <v>2586</v>
      </c>
      <c r="G869" t="s">
        <v>7</v>
      </c>
      <c r="H869">
        <v>2025</v>
      </c>
      <c r="I869" t="s">
        <v>1364</v>
      </c>
      <c r="J869" t="s">
        <v>1358</v>
      </c>
    </row>
    <row r="870" spans="1:10" x14ac:dyDescent="0.3">
      <c r="A870" s="21">
        <v>45919</v>
      </c>
      <c r="B870" t="s">
        <v>1313</v>
      </c>
      <c r="C870" t="s">
        <v>24</v>
      </c>
      <c r="D870">
        <v>1</v>
      </c>
      <c r="E870">
        <v>292</v>
      </c>
      <c r="F870">
        <v>292</v>
      </c>
      <c r="G870" t="s">
        <v>27</v>
      </c>
      <c r="H870">
        <v>2025</v>
      </c>
      <c r="I870" t="s">
        <v>1364</v>
      </c>
      <c r="J870" t="s">
        <v>1366</v>
      </c>
    </row>
    <row r="871" spans="1:10" x14ac:dyDescent="0.3">
      <c r="A871" s="21">
        <v>45919</v>
      </c>
      <c r="B871" t="s">
        <v>1233</v>
      </c>
      <c r="C871" t="s">
        <v>79</v>
      </c>
      <c r="D871">
        <v>3</v>
      </c>
      <c r="E871">
        <v>600</v>
      </c>
      <c r="F871">
        <v>1800</v>
      </c>
      <c r="G871" t="s">
        <v>15</v>
      </c>
      <c r="H871">
        <v>2025</v>
      </c>
      <c r="I871" t="s">
        <v>1364</v>
      </c>
      <c r="J871" t="s">
        <v>1366</v>
      </c>
    </row>
    <row r="872" spans="1:10" x14ac:dyDescent="0.3">
      <c r="A872" s="21">
        <v>45919</v>
      </c>
      <c r="B872" t="s">
        <v>475</v>
      </c>
      <c r="C872" t="s">
        <v>30</v>
      </c>
      <c r="D872">
        <v>6</v>
      </c>
      <c r="E872">
        <v>692</v>
      </c>
      <c r="F872">
        <v>4152</v>
      </c>
      <c r="G872" t="s">
        <v>27</v>
      </c>
      <c r="H872">
        <v>2025</v>
      </c>
      <c r="I872" t="s">
        <v>1364</v>
      </c>
      <c r="J872" t="s">
        <v>1366</v>
      </c>
    </row>
    <row r="873" spans="1:10" x14ac:dyDescent="0.3">
      <c r="A873" s="21">
        <v>45921</v>
      </c>
      <c r="B873" t="s">
        <v>261</v>
      </c>
      <c r="C873" t="s">
        <v>79</v>
      </c>
      <c r="D873">
        <v>3</v>
      </c>
      <c r="E873">
        <v>139</v>
      </c>
      <c r="F873">
        <v>417</v>
      </c>
      <c r="G873" t="s">
        <v>33</v>
      </c>
      <c r="H873">
        <v>2025</v>
      </c>
      <c r="I873" t="s">
        <v>1364</v>
      </c>
      <c r="J873" t="s">
        <v>1361</v>
      </c>
    </row>
    <row r="874" spans="1:10" x14ac:dyDescent="0.3">
      <c r="A874" s="21">
        <v>45921</v>
      </c>
      <c r="B874" t="s">
        <v>97</v>
      </c>
      <c r="C874" t="s">
        <v>79</v>
      </c>
      <c r="D874">
        <v>3</v>
      </c>
      <c r="E874">
        <v>756</v>
      </c>
      <c r="F874">
        <v>2268</v>
      </c>
      <c r="G874" t="s">
        <v>7</v>
      </c>
      <c r="H874">
        <v>2025</v>
      </c>
      <c r="I874" t="s">
        <v>1364</v>
      </c>
      <c r="J874" t="s">
        <v>1361</v>
      </c>
    </row>
    <row r="875" spans="1:10" x14ac:dyDescent="0.3">
      <c r="A875" s="21">
        <v>45922</v>
      </c>
      <c r="B875" t="s">
        <v>346</v>
      </c>
      <c r="C875" t="s">
        <v>79</v>
      </c>
      <c r="D875">
        <v>1</v>
      </c>
      <c r="E875">
        <v>470</v>
      </c>
      <c r="F875">
        <v>470</v>
      </c>
      <c r="G875" t="s">
        <v>11</v>
      </c>
      <c r="H875">
        <v>2025</v>
      </c>
      <c r="I875" t="s">
        <v>1364</v>
      </c>
      <c r="J875" t="s">
        <v>1363</v>
      </c>
    </row>
    <row r="876" spans="1:10" x14ac:dyDescent="0.3">
      <c r="A876" s="21">
        <v>45923</v>
      </c>
      <c r="B876" t="s">
        <v>588</v>
      </c>
      <c r="C876" t="s">
        <v>30</v>
      </c>
      <c r="D876">
        <v>5</v>
      </c>
      <c r="E876">
        <v>99</v>
      </c>
      <c r="F876">
        <v>495</v>
      </c>
      <c r="G876" t="s">
        <v>15</v>
      </c>
      <c r="H876">
        <v>2025</v>
      </c>
      <c r="I876" t="s">
        <v>1364</v>
      </c>
      <c r="J876" t="s">
        <v>1353</v>
      </c>
    </row>
    <row r="877" spans="1:10" x14ac:dyDescent="0.3">
      <c r="A877" s="21">
        <v>45924</v>
      </c>
      <c r="B877" t="s">
        <v>401</v>
      </c>
      <c r="C877" t="s">
        <v>38</v>
      </c>
      <c r="D877">
        <v>4</v>
      </c>
      <c r="E877">
        <v>581</v>
      </c>
      <c r="F877">
        <v>2324</v>
      </c>
      <c r="G877" t="s">
        <v>19</v>
      </c>
      <c r="H877">
        <v>2025</v>
      </c>
      <c r="I877" t="s">
        <v>1364</v>
      </c>
      <c r="J877" t="s">
        <v>1358</v>
      </c>
    </row>
    <row r="878" spans="1:10" x14ac:dyDescent="0.3">
      <c r="A878" s="21">
        <v>45925</v>
      </c>
      <c r="B878" t="s">
        <v>482</v>
      </c>
      <c r="C878" t="s">
        <v>68</v>
      </c>
      <c r="D878">
        <v>3</v>
      </c>
      <c r="E878">
        <v>544</v>
      </c>
      <c r="F878">
        <v>1632</v>
      </c>
      <c r="G878" t="s">
        <v>33</v>
      </c>
      <c r="H878">
        <v>2025</v>
      </c>
      <c r="I878" t="s">
        <v>1364</v>
      </c>
      <c r="J878" t="s">
        <v>1356</v>
      </c>
    </row>
    <row r="879" spans="1:10" x14ac:dyDescent="0.3">
      <c r="A879" s="21">
        <v>45926</v>
      </c>
      <c r="B879" t="s">
        <v>1188</v>
      </c>
      <c r="C879" t="s">
        <v>68</v>
      </c>
      <c r="D879">
        <v>4</v>
      </c>
      <c r="E879">
        <v>96</v>
      </c>
      <c r="F879">
        <v>384</v>
      </c>
      <c r="G879" t="s">
        <v>11</v>
      </c>
      <c r="H879">
        <v>2025</v>
      </c>
      <c r="I879" t="s">
        <v>1364</v>
      </c>
      <c r="J879" t="s">
        <v>1366</v>
      </c>
    </row>
    <row r="880" spans="1:10" x14ac:dyDescent="0.3">
      <c r="A880" s="21">
        <v>45926</v>
      </c>
      <c r="B880" t="s">
        <v>555</v>
      </c>
      <c r="C880" t="s">
        <v>24</v>
      </c>
      <c r="D880">
        <v>3</v>
      </c>
      <c r="E880">
        <v>641</v>
      </c>
      <c r="F880">
        <v>1923</v>
      </c>
      <c r="G880" t="s">
        <v>27</v>
      </c>
      <c r="H880">
        <v>2025</v>
      </c>
      <c r="I880" t="s">
        <v>1364</v>
      </c>
      <c r="J880" t="s">
        <v>1366</v>
      </c>
    </row>
    <row r="881" spans="1:10" x14ac:dyDescent="0.3">
      <c r="A881" s="21">
        <v>45926</v>
      </c>
      <c r="B881" t="s">
        <v>1111</v>
      </c>
      <c r="C881" t="s">
        <v>79</v>
      </c>
      <c r="D881">
        <v>6</v>
      </c>
      <c r="E881">
        <v>825</v>
      </c>
      <c r="F881">
        <v>4950</v>
      </c>
      <c r="G881" t="s">
        <v>19</v>
      </c>
      <c r="H881">
        <v>2025</v>
      </c>
      <c r="I881" t="s">
        <v>1364</v>
      </c>
      <c r="J881" t="s">
        <v>1366</v>
      </c>
    </row>
    <row r="882" spans="1:10" x14ac:dyDescent="0.3">
      <c r="A882" s="21">
        <v>45927</v>
      </c>
      <c r="B882" t="s">
        <v>1236</v>
      </c>
      <c r="C882" t="s">
        <v>10</v>
      </c>
      <c r="D882">
        <v>2</v>
      </c>
      <c r="E882">
        <v>180</v>
      </c>
      <c r="F882">
        <v>360</v>
      </c>
      <c r="G882" t="s">
        <v>27</v>
      </c>
      <c r="H882">
        <v>2025</v>
      </c>
      <c r="I882" t="s">
        <v>1364</v>
      </c>
      <c r="J882" t="s">
        <v>1359</v>
      </c>
    </row>
    <row r="883" spans="1:10" x14ac:dyDescent="0.3">
      <c r="A883" s="21">
        <v>45927</v>
      </c>
      <c r="B883" t="s">
        <v>497</v>
      </c>
      <c r="C883" t="s">
        <v>18</v>
      </c>
      <c r="D883">
        <v>5</v>
      </c>
      <c r="E883">
        <v>500</v>
      </c>
      <c r="F883">
        <v>2500</v>
      </c>
      <c r="G883" t="s">
        <v>11</v>
      </c>
      <c r="H883">
        <v>2025</v>
      </c>
      <c r="I883" t="s">
        <v>1364</v>
      </c>
      <c r="J883" t="s">
        <v>1359</v>
      </c>
    </row>
    <row r="884" spans="1:10" x14ac:dyDescent="0.3">
      <c r="A884" s="21">
        <v>45929</v>
      </c>
      <c r="B884" t="s">
        <v>1328</v>
      </c>
      <c r="C884" t="s">
        <v>18</v>
      </c>
      <c r="D884">
        <v>1</v>
      </c>
      <c r="E884">
        <v>950</v>
      </c>
      <c r="F884">
        <v>950</v>
      </c>
      <c r="G884" t="s">
        <v>11</v>
      </c>
      <c r="H884">
        <v>2025</v>
      </c>
      <c r="I884" t="s">
        <v>1364</v>
      </c>
      <c r="J884" t="s">
        <v>1363</v>
      </c>
    </row>
    <row r="885" spans="1:10" x14ac:dyDescent="0.3">
      <c r="A885" s="21">
        <v>45930</v>
      </c>
      <c r="B885" t="s">
        <v>90</v>
      </c>
      <c r="C885" t="s">
        <v>6</v>
      </c>
      <c r="D885">
        <v>1</v>
      </c>
      <c r="E885">
        <v>667</v>
      </c>
      <c r="F885">
        <v>667</v>
      </c>
      <c r="G885" t="s">
        <v>27</v>
      </c>
      <c r="H885">
        <v>2025</v>
      </c>
      <c r="I885" t="s">
        <v>1364</v>
      </c>
      <c r="J885" t="s">
        <v>1353</v>
      </c>
    </row>
    <row r="886" spans="1:10" x14ac:dyDescent="0.3">
      <c r="A886" s="21">
        <v>45930</v>
      </c>
      <c r="B886" t="s">
        <v>385</v>
      </c>
      <c r="C886" t="s">
        <v>30</v>
      </c>
      <c r="D886">
        <v>2</v>
      </c>
      <c r="E886">
        <v>939</v>
      </c>
      <c r="F886">
        <v>1878</v>
      </c>
      <c r="G886" t="s">
        <v>33</v>
      </c>
      <c r="H886">
        <v>2025</v>
      </c>
      <c r="I886" t="s">
        <v>1364</v>
      </c>
      <c r="J886" t="s">
        <v>1353</v>
      </c>
    </row>
    <row r="887" spans="1:10" x14ac:dyDescent="0.3">
      <c r="A887" s="21">
        <v>45931</v>
      </c>
      <c r="B887" t="s">
        <v>942</v>
      </c>
      <c r="C887" t="s">
        <v>10</v>
      </c>
      <c r="D887">
        <v>6</v>
      </c>
      <c r="E887">
        <v>711</v>
      </c>
      <c r="F887">
        <v>4266</v>
      </c>
      <c r="G887" t="s">
        <v>11</v>
      </c>
      <c r="H887">
        <v>2025</v>
      </c>
      <c r="I887" t="s">
        <v>1365</v>
      </c>
      <c r="J887" t="s">
        <v>1358</v>
      </c>
    </row>
    <row r="888" spans="1:10" x14ac:dyDescent="0.3">
      <c r="A888" s="21">
        <v>45932</v>
      </c>
      <c r="B888" t="s">
        <v>72</v>
      </c>
      <c r="C888" t="s">
        <v>10</v>
      </c>
      <c r="D888">
        <v>6</v>
      </c>
      <c r="E888">
        <v>350</v>
      </c>
      <c r="F888">
        <v>2100</v>
      </c>
      <c r="G888" t="s">
        <v>7</v>
      </c>
      <c r="H888">
        <v>2025</v>
      </c>
      <c r="I888" t="s">
        <v>1365</v>
      </c>
      <c r="J888" t="s">
        <v>1356</v>
      </c>
    </row>
    <row r="889" spans="1:10" x14ac:dyDescent="0.3">
      <c r="A889" s="21">
        <v>45933</v>
      </c>
      <c r="B889" t="s">
        <v>67</v>
      </c>
      <c r="C889" t="s">
        <v>68</v>
      </c>
      <c r="D889">
        <v>1</v>
      </c>
      <c r="E889">
        <v>234</v>
      </c>
      <c r="F889">
        <v>234</v>
      </c>
      <c r="G889" t="s">
        <v>19</v>
      </c>
      <c r="H889">
        <v>2025</v>
      </c>
      <c r="I889" t="s">
        <v>1365</v>
      </c>
      <c r="J889" t="s">
        <v>1366</v>
      </c>
    </row>
    <row r="890" spans="1:10" x14ac:dyDescent="0.3">
      <c r="A890" s="21">
        <v>45933</v>
      </c>
      <c r="B890" t="s">
        <v>432</v>
      </c>
      <c r="C890" t="s">
        <v>30</v>
      </c>
      <c r="D890">
        <v>6</v>
      </c>
      <c r="E890">
        <v>225</v>
      </c>
      <c r="F890">
        <v>1350</v>
      </c>
      <c r="G890" t="s">
        <v>33</v>
      </c>
      <c r="H890">
        <v>2025</v>
      </c>
      <c r="I890" t="s">
        <v>1365</v>
      </c>
      <c r="J890" t="s">
        <v>1366</v>
      </c>
    </row>
    <row r="891" spans="1:10" x14ac:dyDescent="0.3">
      <c r="A891" s="21">
        <v>45933</v>
      </c>
      <c r="B891" t="s">
        <v>1283</v>
      </c>
      <c r="C891" t="s">
        <v>65</v>
      </c>
      <c r="D891">
        <v>3</v>
      </c>
      <c r="E891">
        <v>662</v>
      </c>
      <c r="F891">
        <v>1986</v>
      </c>
      <c r="G891" t="s">
        <v>7</v>
      </c>
      <c r="H891">
        <v>2025</v>
      </c>
      <c r="I891" t="s">
        <v>1365</v>
      </c>
      <c r="J891" t="s">
        <v>1366</v>
      </c>
    </row>
    <row r="892" spans="1:10" x14ac:dyDescent="0.3">
      <c r="A892" s="21">
        <v>45933</v>
      </c>
      <c r="B892" t="s">
        <v>433</v>
      </c>
      <c r="C892" t="s">
        <v>6</v>
      </c>
      <c r="D892">
        <v>4</v>
      </c>
      <c r="E892">
        <v>724</v>
      </c>
      <c r="F892">
        <v>2896</v>
      </c>
      <c r="G892" t="s">
        <v>15</v>
      </c>
      <c r="H892">
        <v>2025</v>
      </c>
      <c r="I892" t="s">
        <v>1365</v>
      </c>
      <c r="J892" t="s">
        <v>1366</v>
      </c>
    </row>
    <row r="893" spans="1:10" x14ac:dyDescent="0.3">
      <c r="A893" s="21">
        <v>45934</v>
      </c>
      <c r="B893" t="s">
        <v>512</v>
      </c>
      <c r="C893" t="s">
        <v>6</v>
      </c>
      <c r="D893">
        <v>1</v>
      </c>
      <c r="E893">
        <v>932</v>
      </c>
      <c r="F893">
        <v>932</v>
      </c>
      <c r="G893" t="s">
        <v>7</v>
      </c>
      <c r="H893">
        <v>2025</v>
      </c>
      <c r="I893" t="s">
        <v>1365</v>
      </c>
      <c r="J893" t="s">
        <v>1359</v>
      </c>
    </row>
    <row r="894" spans="1:10" x14ac:dyDescent="0.3">
      <c r="A894" s="21">
        <v>45936</v>
      </c>
      <c r="B894" t="s">
        <v>693</v>
      </c>
      <c r="C894" t="s">
        <v>14</v>
      </c>
      <c r="D894">
        <v>2</v>
      </c>
      <c r="E894">
        <v>216</v>
      </c>
      <c r="F894">
        <v>432</v>
      </c>
      <c r="G894" t="s">
        <v>19</v>
      </c>
      <c r="H894">
        <v>2025</v>
      </c>
      <c r="I894" t="s">
        <v>1365</v>
      </c>
      <c r="J894" t="s">
        <v>1363</v>
      </c>
    </row>
    <row r="895" spans="1:10" x14ac:dyDescent="0.3">
      <c r="A895" s="21">
        <v>45936</v>
      </c>
      <c r="B895" t="s">
        <v>922</v>
      </c>
      <c r="C895" t="s">
        <v>24</v>
      </c>
      <c r="D895">
        <v>2</v>
      </c>
      <c r="E895">
        <v>839</v>
      </c>
      <c r="F895">
        <v>1678</v>
      </c>
      <c r="G895" t="s">
        <v>27</v>
      </c>
      <c r="H895">
        <v>2025</v>
      </c>
      <c r="I895" t="s">
        <v>1365</v>
      </c>
      <c r="J895" t="s">
        <v>1363</v>
      </c>
    </row>
    <row r="896" spans="1:10" x14ac:dyDescent="0.3">
      <c r="A896" s="21">
        <v>45936</v>
      </c>
      <c r="B896" t="s">
        <v>569</v>
      </c>
      <c r="C896" t="s">
        <v>24</v>
      </c>
      <c r="D896">
        <v>6</v>
      </c>
      <c r="E896">
        <v>560</v>
      </c>
      <c r="F896">
        <v>3360</v>
      </c>
      <c r="G896" t="s">
        <v>33</v>
      </c>
      <c r="H896">
        <v>2025</v>
      </c>
      <c r="I896" t="s">
        <v>1365</v>
      </c>
      <c r="J896" t="s">
        <v>1363</v>
      </c>
    </row>
    <row r="897" spans="1:10" x14ac:dyDescent="0.3">
      <c r="A897" s="21">
        <v>45937</v>
      </c>
      <c r="B897" t="s">
        <v>1157</v>
      </c>
      <c r="C897" t="s">
        <v>68</v>
      </c>
      <c r="D897">
        <v>4</v>
      </c>
      <c r="E897">
        <v>143</v>
      </c>
      <c r="F897">
        <v>572</v>
      </c>
      <c r="G897" t="s">
        <v>33</v>
      </c>
      <c r="H897">
        <v>2025</v>
      </c>
      <c r="I897" t="s">
        <v>1365</v>
      </c>
      <c r="J897" t="s">
        <v>1353</v>
      </c>
    </row>
    <row r="898" spans="1:10" x14ac:dyDescent="0.3">
      <c r="A898" s="21">
        <v>45937</v>
      </c>
      <c r="B898" t="s">
        <v>195</v>
      </c>
      <c r="C898" t="s">
        <v>65</v>
      </c>
      <c r="D898">
        <v>3</v>
      </c>
      <c r="E898">
        <v>592</v>
      </c>
      <c r="F898">
        <v>1776</v>
      </c>
      <c r="G898" t="s">
        <v>11</v>
      </c>
      <c r="H898">
        <v>2025</v>
      </c>
      <c r="I898" t="s">
        <v>1365</v>
      </c>
      <c r="J898" t="s">
        <v>1353</v>
      </c>
    </row>
    <row r="899" spans="1:10" x14ac:dyDescent="0.3">
      <c r="A899" s="21">
        <v>45937</v>
      </c>
      <c r="B899" t="s">
        <v>702</v>
      </c>
      <c r="C899" t="s">
        <v>38</v>
      </c>
      <c r="D899">
        <v>6</v>
      </c>
      <c r="E899">
        <v>394</v>
      </c>
      <c r="F899">
        <v>2364</v>
      </c>
      <c r="G899" t="s">
        <v>7</v>
      </c>
      <c r="H899">
        <v>2025</v>
      </c>
      <c r="I899" t="s">
        <v>1365</v>
      </c>
      <c r="J899" t="s">
        <v>1353</v>
      </c>
    </row>
    <row r="900" spans="1:10" x14ac:dyDescent="0.3">
      <c r="A900" s="21">
        <v>45938</v>
      </c>
      <c r="B900" t="s">
        <v>1178</v>
      </c>
      <c r="C900" t="s">
        <v>6</v>
      </c>
      <c r="D900">
        <v>3</v>
      </c>
      <c r="E900">
        <v>790</v>
      </c>
      <c r="F900">
        <v>2370</v>
      </c>
      <c r="G900" t="s">
        <v>33</v>
      </c>
      <c r="H900">
        <v>2025</v>
      </c>
      <c r="I900" t="s">
        <v>1365</v>
      </c>
      <c r="J900" t="s">
        <v>1358</v>
      </c>
    </row>
    <row r="901" spans="1:10" x14ac:dyDescent="0.3">
      <c r="A901" s="21">
        <v>45939</v>
      </c>
      <c r="B901" t="s">
        <v>1046</v>
      </c>
      <c r="C901" t="s">
        <v>68</v>
      </c>
      <c r="D901">
        <v>4</v>
      </c>
      <c r="E901">
        <v>304</v>
      </c>
      <c r="F901">
        <v>1216</v>
      </c>
      <c r="G901" t="s">
        <v>19</v>
      </c>
      <c r="H901">
        <v>2025</v>
      </c>
      <c r="I901" t="s">
        <v>1365</v>
      </c>
      <c r="J901" t="s">
        <v>1356</v>
      </c>
    </row>
    <row r="902" spans="1:10" x14ac:dyDescent="0.3">
      <c r="A902" s="21">
        <v>45940</v>
      </c>
      <c r="B902" t="s">
        <v>582</v>
      </c>
      <c r="C902" t="s">
        <v>18</v>
      </c>
      <c r="D902">
        <v>5</v>
      </c>
      <c r="E902">
        <v>296</v>
      </c>
      <c r="F902">
        <v>1480</v>
      </c>
      <c r="G902" t="s">
        <v>19</v>
      </c>
      <c r="H902">
        <v>2025</v>
      </c>
      <c r="I902" t="s">
        <v>1365</v>
      </c>
      <c r="J902" t="s">
        <v>1366</v>
      </c>
    </row>
    <row r="903" spans="1:10" x14ac:dyDescent="0.3">
      <c r="A903" s="21">
        <v>45943</v>
      </c>
      <c r="B903" t="s">
        <v>1280</v>
      </c>
      <c r="C903" t="s">
        <v>30</v>
      </c>
      <c r="D903">
        <v>1</v>
      </c>
      <c r="E903">
        <v>658</v>
      </c>
      <c r="F903">
        <v>658</v>
      </c>
      <c r="G903" t="s">
        <v>15</v>
      </c>
      <c r="H903">
        <v>2025</v>
      </c>
      <c r="I903" t="s">
        <v>1365</v>
      </c>
      <c r="J903" t="s">
        <v>1363</v>
      </c>
    </row>
    <row r="904" spans="1:10" x14ac:dyDescent="0.3">
      <c r="A904" s="21">
        <v>45943</v>
      </c>
      <c r="B904" t="s">
        <v>1121</v>
      </c>
      <c r="C904" t="s">
        <v>30</v>
      </c>
      <c r="D904">
        <v>2</v>
      </c>
      <c r="E904">
        <v>822</v>
      </c>
      <c r="F904">
        <v>1644</v>
      </c>
      <c r="G904" t="s">
        <v>19</v>
      </c>
      <c r="H904">
        <v>2025</v>
      </c>
      <c r="I904" t="s">
        <v>1365</v>
      </c>
      <c r="J904" t="s">
        <v>1363</v>
      </c>
    </row>
    <row r="905" spans="1:10" x14ac:dyDescent="0.3">
      <c r="A905" s="21">
        <v>45944</v>
      </c>
      <c r="B905" t="s">
        <v>1067</v>
      </c>
      <c r="C905" t="s">
        <v>18</v>
      </c>
      <c r="D905">
        <v>2</v>
      </c>
      <c r="E905">
        <v>291</v>
      </c>
      <c r="F905">
        <v>582</v>
      </c>
      <c r="G905" t="s">
        <v>19</v>
      </c>
      <c r="H905">
        <v>2025</v>
      </c>
      <c r="I905" t="s">
        <v>1365</v>
      </c>
      <c r="J905" t="s">
        <v>1353</v>
      </c>
    </row>
    <row r="906" spans="1:10" x14ac:dyDescent="0.3">
      <c r="A906" s="21">
        <v>45944</v>
      </c>
      <c r="B906" t="s">
        <v>366</v>
      </c>
      <c r="C906" t="s">
        <v>68</v>
      </c>
      <c r="D906">
        <v>5</v>
      </c>
      <c r="E906">
        <v>579</v>
      </c>
      <c r="F906">
        <v>2895</v>
      </c>
      <c r="G906" t="s">
        <v>19</v>
      </c>
      <c r="H906">
        <v>2025</v>
      </c>
      <c r="I906" t="s">
        <v>1365</v>
      </c>
      <c r="J906" t="s">
        <v>1353</v>
      </c>
    </row>
    <row r="907" spans="1:10" x14ac:dyDescent="0.3">
      <c r="A907" s="21">
        <v>45945</v>
      </c>
      <c r="B907" t="s">
        <v>1113</v>
      </c>
      <c r="C907" t="s">
        <v>14</v>
      </c>
      <c r="D907">
        <v>1</v>
      </c>
      <c r="E907">
        <v>871</v>
      </c>
      <c r="F907">
        <v>871</v>
      </c>
      <c r="G907" t="s">
        <v>33</v>
      </c>
      <c r="H907">
        <v>2025</v>
      </c>
      <c r="I907" t="s">
        <v>1365</v>
      </c>
      <c r="J907" t="s">
        <v>1358</v>
      </c>
    </row>
    <row r="908" spans="1:10" x14ac:dyDescent="0.3">
      <c r="A908" s="21">
        <v>45945</v>
      </c>
      <c r="B908" t="s">
        <v>921</v>
      </c>
      <c r="C908" t="s">
        <v>65</v>
      </c>
      <c r="D908">
        <v>5</v>
      </c>
      <c r="E908">
        <v>747</v>
      </c>
      <c r="F908">
        <v>3735</v>
      </c>
      <c r="G908" t="s">
        <v>11</v>
      </c>
      <c r="H908">
        <v>2025</v>
      </c>
      <c r="I908" t="s">
        <v>1365</v>
      </c>
      <c r="J908" t="s">
        <v>1358</v>
      </c>
    </row>
    <row r="909" spans="1:10" x14ac:dyDescent="0.3">
      <c r="A909" s="21">
        <v>45946</v>
      </c>
      <c r="B909" t="s">
        <v>432</v>
      </c>
      <c r="C909" t="s">
        <v>14</v>
      </c>
      <c r="D909">
        <v>2</v>
      </c>
      <c r="E909">
        <v>727</v>
      </c>
      <c r="F909">
        <v>1454</v>
      </c>
      <c r="G909" t="s">
        <v>33</v>
      </c>
      <c r="H909">
        <v>2025</v>
      </c>
      <c r="I909" t="s">
        <v>1365</v>
      </c>
      <c r="J909" t="s">
        <v>1356</v>
      </c>
    </row>
    <row r="910" spans="1:10" x14ac:dyDescent="0.3">
      <c r="A910" s="21">
        <v>45946</v>
      </c>
      <c r="B910" t="s">
        <v>1224</v>
      </c>
      <c r="C910" t="s">
        <v>30</v>
      </c>
      <c r="D910">
        <v>5</v>
      </c>
      <c r="E910">
        <v>945</v>
      </c>
      <c r="F910">
        <v>4725</v>
      </c>
      <c r="G910" t="s">
        <v>7</v>
      </c>
      <c r="H910">
        <v>2025</v>
      </c>
      <c r="I910" t="s">
        <v>1365</v>
      </c>
      <c r="J910" t="s">
        <v>1356</v>
      </c>
    </row>
    <row r="911" spans="1:10" x14ac:dyDescent="0.3">
      <c r="A911" s="21">
        <v>45947</v>
      </c>
      <c r="B911" t="s">
        <v>836</v>
      </c>
      <c r="C911" t="s">
        <v>65</v>
      </c>
      <c r="D911">
        <v>4</v>
      </c>
      <c r="E911">
        <v>335</v>
      </c>
      <c r="F911">
        <v>1340</v>
      </c>
      <c r="G911" t="s">
        <v>15</v>
      </c>
      <c r="H911">
        <v>2025</v>
      </c>
      <c r="I911" t="s">
        <v>1365</v>
      </c>
      <c r="J911" t="s">
        <v>1366</v>
      </c>
    </row>
    <row r="912" spans="1:10" x14ac:dyDescent="0.3">
      <c r="A912" s="21">
        <v>45948</v>
      </c>
      <c r="B912" t="s">
        <v>1308</v>
      </c>
      <c r="C912" t="s">
        <v>38</v>
      </c>
      <c r="D912">
        <v>2</v>
      </c>
      <c r="E912">
        <v>662</v>
      </c>
      <c r="F912">
        <v>1324</v>
      </c>
      <c r="G912" t="s">
        <v>15</v>
      </c>
      <c r="H912">
        <v>2025</v>
      </c>
      <c r="I912" t="s">
        <v>1365</v>
      </c>
      <c r="J912" t="s">
        <v>1359</v>
      </c>
    </row>
    <row r="913" spans="1:10" x14ac:dyDescent="0.3">
      <c r="A913" s="21">
        <v>45949</v>
      </c>
      <c r="B913" t="s">
        <v>1242</v>
      </c>
      <c r="C913" t="s">
        <v>14</v>
      </c>
      <c r="D913">
        <v>1</v>
      </c>
      <c r="E913">
        <v>73</v>
      </c>
      <c r="F913">
        <v>73</v>
      </c>
      <c r="G913" t="s">
        <v>7</v>
      </c>
      <c r="H913">
        <v>2025</v>
      </c>
      <c r="I913" t="s">
        <v>1365</v>
      </c>
      <c r="J913" t="s">
        <v>1361</v>
      </c>
    </row>
    <row r="914" spans="1:10" x14ac:dyDescent="0.3">
      <c r="A914" s="21">
        <v>45950</v>
      </c>
      <c r="B914" t="s">
        <v>242</v>
      </c>
      <c r="C914" t="s">
        <v>38</v>
      </c>
      <c r="D914">
        <v>6</v>
      </c>
      <c r="E914">
        <v>552</v>
      </c>
      <c r="F914">
        <v>3312</v>
      </c>
      <c r="G914" t="s">
        <v>33</v>
      </c>
      <c r="H914">
        <v>2025</v>
      </c>
      <c r="I914" t="s">
        <v>1365</v>
      </c>
      <c r="J914" t="s">
        <v>1363</v>
      </c>
    </row>
    <row r="915" spans="1:10" x14ac:dyDescent="0.3">
      <c r="A915" s="21">
        <v>45953</v>
      </c>
      <c r="B915" t="s">
        <v>442</v>
      </c>
      <c r="C915" t="s">
        <v>18</v>
      </c>
      <c r="D915">
        <v>1</v>
      </c>
      <c r="E915">
        <v>395</v>
      </c>
      <c r="F915">
        <v>395</v>
      </c>
      <c r="G915" t="s">
        <v>11</v>
      </c>
      <c r="H915">
        <v>2025</v>
      </c>
      <c r="I915" t="s">
        <v>1365</v>
      </c>
      <c r="J915" t="s">
        <v>1356</v>
      </c>
    </row>
    <row r="916" spans="1:10" x14ac:dyDescent="0.3">
      <c r="A916" s="21">
        <v>45953</v>
      </c>
      <c r="B916" t="s">
        <v>1296</v>
      </c>
      <c r="C916" t="s">
        <v>30</v>
      </c>
      <c r="D916">
        <v>6</v>
      </c>
      <c r="E916">
        <v>822</v>
      </c>
      <c r="F916">
        <v>4932</v>
      </c>
      <c r="G916" t="s">
        <v>19</v>
      </c>
      <c r="H916">
        <v>2025</v>
      </c>
      <c r="I916" t="s">
        <v>1365</v>
      </c>
      <c r="J916" t="s">
        <v>1356</v>
      </c>
    </row>
    <row r="917" spans="1:10" x14ac:dyDescent="0.3">
      <c r="A917" s="21">
        <v>45954</v>
      </c>
      <c r="B917" t="s">
        <v>777</v>
      </c>
      <c r="C917" t="s">
        <v>68</v>
      </c>
      <c r="D917">
        <v>5</v>
      </c>
      <c r="E917">
        <v>205</v>
      </c>
      <c r="F917">
        <v>1025</v>
      </c>
      <c r="G917" t="s">
        <v>33</v>
      </c>
      <c r="H917">
        <v>2025</v>
      </c>
      <c r="I917" t="s">
        <v>1365</v>
      </c>
      <c r="J917" t="s">
        <v>1366</v>
      </c>
    </row>
    <row r="918" spans="1:10" x14ac:dyDescent="0.3">
      <c r="A918" s="21">
        <v>45956</v>
      </c>
      <c r="B918" t="s">
        <v>1090</v>
      </c>
      <c r="C918" t="s">
        <v>6</v>
      </c>
      <c r="D918">
        <v>5</v>
      </c>
      <c r="E918">
        <v>988</v>
      </c>
      <c r="F918">
        <v>4940</v>
      </c>
      <c r="G918" t="s">
        <v>15</v>
      </c>
      <c r="H918">
        <v>2025</v>
      </c>
      <c r="I918" t="s">
        <v>1365</v>
      </c>
      <c r="J918" t="s">
        <v>1361</v>
      </c>
    </row>
    <row r="919" spans="1:10" x14ac:dyDescent="0.3">
      <c r="A919" s="21">
        <v>45957</v>
      </c>
      <c r="B919" t="s">
        <v>895</v>
      </c>
      <c r="C919" t="s">
        <v>14</v>
      </c>
      <c r="D919">
        <v>4</v>
      </c>
      <c r="E919">
        <v>161</v>
      </c>
      <c r="F919">
        <v>644</v>
      </c>
      <c r="G919" t="s">
        <v>33</v>
      </c>
      <c r="H919">
        <v>2025</v>
      </c>
      <c r="I919" t="s">
        <v>1365</v>
      </c>
      <c r="J919" t="s">
        <v>1363</v>
      </c>
    </row>
    <row r="920" spans="1:10" x14ac:dyDescent="0.3">
      <c r="A920" s="21">
        <v>45961</v>
      </c>
      <c r="B920" t="s">
        <v>780</v>
      </c>
      <c r="C920" t="s">
        <v>18</v>
      </c>
      <c r="D920">
        <v>4</v>
      </c>
      <c r="E920">
        <v>258</v>
      </c>
      <c r="F920">
        <v>1032</v>
      </c>
      <c r="G920" t="s">
        <v>11</v>
      </c>
      <c r="H920">
        <v>2025</v>
      </c>
      <c r="I920" t="s">
        <v>1365</v>
      </c>
      <c r="J920" t="s">
        <v>1366</v>
      </c>
    </row>
    <row r="921" spans="1:10" x14ac:dyDescent="0.3">
      <c r="A921" s="21">
        <v>45961</v>
      </c>
      <c r="B921" t="s">
        <v>1110</v>
      </c>
      <c r="C921" t="s">
        <v>18</v>
      </c>
      <c r="D921">
        <v>5</v>
      </c>
      <c r="E921">
        <v>532</v>
      </c>
      <c r="F921">
        <v>2660</v>
      </c>
      <c r="G921" t="s">
        <v>7</v>
      </c>
      <c r="H921">
        <v>2025</v>
      </c>
      <c r="I921" t="s">
        <v>1365</v>
      </c>
      <c r="J921" t="s">
        <v>1366</v>
      </c>
    </row>
    <row r="922" spans="1:10" x14ac:dyDescent="0.3">
      <c r="A922" s="21">
        <v>45961</v>
      </c>
      <c r="B922" t="s">
        <v>543</v>
      </c>
      <c r="C922" t="s">
        <v>14</v>
      </c>
      <c r="D922">
        <v>5</v>
      </c>
      <c r="E922">
        <v>680</v>
      </c>
      <c r="F922">
        <v>3400</v>
      </c>
      <c r="G922" t="s">
        <v>27</v>
      </c>
      <c r="H922">
        <v>2025</v>
      </c>
      <c r="I922" t="s">
        <v>1365</v>
      </c>
      <c r="J922" t="s">
        <v>1366</v>
      </c>
    </row>
    <row r="923" spans="1:10" x14ac:dyDescent="0.3">
      <c r="A923" s="21">
        <v>45962</v>
      </c>
      <c r="B923" t="s">
        <v>1162</v>
      </c>
      <c r="C923" t="s">
        <v>65</v>
      </c>
      <c r="D923">
        <v>3</v>
      </c>
      <c r="E923">
        <v>106</v>
      </c>
      <c r="F923">
        <v>318</v>
      </c>
      <c r="G923" t="s">
        <v>33</v>
      </c>
      <c r="H923">
        <v>2025</v>
      </c>
      <c r="I923" t="s">
        <v>1357</v>
      </c>
      <c r="J923" t="s">
        <v>1359</v>
      </c>
    </row>
    <row r="924" spans="1:10" x14ac:dyDescent="0.3">
      <c r="A924" s="21">
        <v>45962</v>
      </c>
      <c r="B924" t="s">
        <v>60</v>
      </c>
      <c r="C924" t="s">
        <v>38</v>
      </c>
      <c r="D924">
        <v>4</v>
      </c>
      <c r="E924">
        <v>490</v>
      </c>
      <c r="F924">
        <v>1960</v>
      </c>
      <c r="G924" t="s">
        <v>7</v>
      </c>
      <c r="H924">
        <v>2025</v>
      </c>
      <c r="I924" t="s">
        <v>1357</v>
      </c>
      <c r="J924" t="s">
        <v>1359</v>
      </c>
    </row>
    <row r="925" spans="1:10" x14ac:dyDescent="0.3">
      <c r="A925" s="21">
        <v>45963</v>
      </c>
      <c r="B925" t="s">
        <v>297</v>
      </c>
      <c r="C925" t="s">
        <v>79</v>
      </c>
      <c r="D925">
        <v>1</v>
      </c>
      <c r="E925">
        <v>420</v>
      </c>
      <c r="F925">
        <v>420</v>
      </c>
      <c r="G925" t="s">
        <v>33</v>
      </c>
      <c r="H925">
        <v>2025</v>
      </c>
      <c r="I925" t="s">
        <v>1357</v>
      </c>
      <c r="J925" t="s">
        <v>1361</v>
      </c>
    </row>
    <row r="926" spans="1:10" x14ac:dyDescent="0.3">
      <c r="A926" s="21">
        <v>45964</v>
      </c>
      <c r="B926" t="s">
        <v>1226</v>
      </c>
      <c r="C926" t="s">
        <v>30</v>
      </c>
      <c r="D926">
        <v>6</v>
      </c>
      <c r="E926">
        <v>602</v>
      </c>
      <c r="F926">
        <v>3612</v>
      </c>
      <c r="G926" t="s">
        <v>33</v>
      </c>
      <c r="H926">
        <v>2025</v>
      </c>
      <c r="I926" t="s">
        <v>1357</v>
      </c>
      <c r="J926" t="s">
        <v>1363</v>
      </c>
    </row>
    <row r="927" spans="1:10" x14ac:dyDescent="0.3">
      <c r="A927" s="21">
        <v>45965</v>
      </c>
      <c r="B927" t="s">
        <v>692</v>
      </c>
      <c r="C927" t="s">
        <v>6</v>
      </c>
      <c r="D927">
        <v>3</v>
      </c>
      <c r="E927">
        <v>376</v>
      </c>
      <c r="F927">
        <v>1128</v>
      </c>
      <c r="G927" t="s">
        <v>7</v>
      </c>
      <c r="H927">
        <v>2025</v>
      </c>
      <c r="I927" t="s">
        <v>1357</v>
      </c>
      <c r="J927" t="s">
        <v>1353</v>
      </c>
    </row>
    <row r="928" spans="1:10" x14ac:dyDescent="0.3">
      <c r="A928" s="21">
        <v>45966</v>
      </c>
      <c r="B928" t="s">
        <v>1020</v>
      </c>
      <c r="C928" t="s">
        <v>65</v>
      </c>
      <c r="D928">
        <v>2</v>
      </c>
      <c r="E928">
        <v>395</v>
      </c>
      <c r="F928">
        <v>790</v>
      </c>
      <c r="G928" t="s">
        <v>27</v>
      </c>
      <c r="H928">
        <v>2025</v>
      </c>
      <c r="I928" t="s">
        <v>1357</v>
      </c>
      <c r="J928" t="s">
        <v>1358</v>
      </c>
    </row>
    <row r="929" spans="1:10" x14ac:dyDescent="0.3">
      <c r="A929" s="21">
        <v>45966</v>
      </c>
      <c r="B929" t="s">
        <v>1330</v>
      </c>
      <c r="C929" t="s">
        <v>30</v>
      </c>
      <c r="D929">
        <v>2</v>
      </c>
      <c r="E929">
        <v>983</v>
      </c>
      <c r="F929">
        <v>1966</v>
      </c>
      <c r="G929" t="s">
        <v>33</v>
      </c>
      <c r="H929">
        <v>2025</v>
      </c>
      <c r="I929" t="s">
        <v>1357</v>
      </c>
      <c r="J929" t="s">
        <v>1358</v>
      </c>
    </row>
    <row r="930" spans="1:10" x14ac:dyDescent="0.3">
      <c r="A930" s="21">
        <v>45967</v>
      </c>
      <c r="B930" t="s">
        <v>940</v>
      </c>
      <c r="C930" t="s">
        <v>10</v>
      </c>
      <c r="D930">
        <v>1</v>
      </c>
      <c r="E930">
        <v>378</v>
      </c>
      <c r="F930">
        <v>378</v>
      </c>
      <c r="G930" t="s">
        <v>15</v>
      </c>
      <c r="H930">
        <v>2025</v>
      </c>
      <c r="I930" t="s">
        <v>1357</v>
      </c>
      <c r="J930" t="s">
        <v>1356</v>
      </c>
    </row>
    <row r="931" spans="1:10" x14ac:dyDescent="0.3">
      <c r="A931" s="21">
        <v>45968</v>
      </c>
      <c r="B931" t="s">
        <v>165</v>
      </c>
      <c r="C931" t="s">
        <v>65</v>
      </c>
      <c r="D931">
        <v>2</v>
      </c>
      <c r="E931">
        <v>710</v>
      </c>
      <c r="F931">
        <v>1420</v>
      </c>
      <c r="G931" t="s">
        <v>7</v>
      </c>
      <c r="H931">
        <v>2025</v>
      </c>
      <c r="I931" t="s">
        <v>1357</v>
      </c>
      <c r="J931" t="s">
        <v>1366</v>
      </c>
    </row>
    <row r="932" spans="1:10" x14ac:dyDescent="0.3">
      <c r="A932" s="21">
        <v>45970</v>
      </c>
      <c r="B932" t="s">
        <v>560</v>
      </c>
      <c r="C932" t="s">
        <v>30</v>
      </c>
      <c r="D932">
        <v>1</v>
      </c>
      <c r="E932">
        <v>831</v>
      </c>
      <c r="F932">
        <v>831</v>
      </c>
      <c r="G932" t="s">
        <v>7</v>
      </c>
      <c r="H932">
        <v>2025</v>
      </c>
      <c r="I932" t="s">
        <v>1357</v>
      </c>
      <c r="J932" t="s">
        <v>1361</v>
      </c>
    </row>
    <row r="933" spans="1:10" x14ac:dyDescent="0.3">
      <c r="A933" s="21">
        <v>45970</v>
      </c>
      <c r="B933" t="s">
        <v>640</v>
      </c>
      <c r="C933" t="s">
        <v>68</v>
      </c>
      <c r="D933">
        <v>5</v>
      </c>
      <c r="E933">
        <v>895</v>
      </c>
      <c r="F933">
        <v>4475</v>
      </c>
      <c r="G933" t="s">
        <v>11</v>
      </c>
      <c r="H933">
        <v>2025</v>
      </c>
      <c r="I933" t="s">
        <v>1357</v>
      </c>
      <c r="J933" t="s">
        <v>1361</v>
      </c>
    </row>
    <row r="934" spans="1:10" x14ac:dyDescent="0.3">
      <c r="A934" s="21">
        <v>45971</v>
      </c>
      <c r="B934" t="s">
        <v>1042</v>
      </c>
      <c r="C934" t="s">
        <v>79</v>
      </c>
      <c r="D934">
        <v>3</v>
      </c>
      <c r="E934">
        <v>239</v>
      </c>
      <c r="F934">
        <v>717</v>
      </c>
      <c r="G934" t="s">
        <v>11</v>
      </c>
      <c r="H934">
        <v>2025</v>
      </c>
      <c r="I934" t="s">
        <v>1357</v>
      </c>
      <c r="J934" t="s">
        <v>1363</v>
      </c>
    </row>
    <row r="935" spans="1:10" x14ac:dyDescent="0.3">
      <c r="A935" s="21">
        <v>45971</v>
      </c>
      <c r="B935" t="s">
        <v>816</v>
      </c>
      <c r="C935" t="s">
        <v>30</v>
      </c>
      <c r="D935">
        <v>5</v>
      </c>
      <c r="E935">
        <v>609</v>
      </c>
      <c r="F935">
        <v>3045</v>
      </c>
      <c r="G935" t="s">
        <v>33</v>
      </c>
      <c r="H935">
        <v>2025</v>
      </c>
      <c r="I935" t="s">
        <v>1357</v>
      </c>
      <c r="J935" t="s">
        <v>1363</v>
      </c>
    </row>
    <row r="936" spans="1:10" x14ac:dyDescent="0.3">
      <c r="A936" s="21">
        <v>45972</v>
      </c>
      <c r="B936" t="s">
        <v>1010</v>
      </c>
      <c r="C936" t="s">
        <v>65</v>
      </c>
      <c r="D936">
        <v>4</v>
      </c>
      <c r="E936">
        <v>216</v>
      </c>
      <c r="F936">
        <v>864</v>
      </c>
      <c r="G936" t="s">
        <v>27</v>
      </c>
      <c r="H936">
        <v>2025</v>
      </c>
      <c r="I936" t="s">
        <v>1357</v>
      </c>
      <c r="J936" t="s">
        <v>1353</v>
      </c>
    </row>
    <row r="937" spans="1:10" x14ac:dyDescent="0.3">
      <c r="A937" s="21">
        <v>45974</v>
      </c>
      <c r="B937" t="s">
        <v>773</v>
      </c>
      <c r="C937" t="s">
        <v>6</v>
      </c>
      <c r="D937">
        <v>1</v>
      </c>
      <c r="E937">
        <v>501</v>
      </c>
      <c r="F937">
        <v>501</v>
      </c>
      <c r="G937" t="s">
        <v>15</v>
      </c>
      <c r="H937">
        <v>2025</v>
      </c>
      <c r="I937" t="s">
        <v>1357</v>
      </c>
      <c r="J937" t="s">
        <v>1356</v>
      </c>
    </row>
    <row r="938" spans="1:10" x14ac:dyDescent="0.3">
      <c r="A938" s="21">
        <v>45975</v>
      </c>
      <c r="B938" t="s">
        <v>667</v>
      </c>
      <c r="C938" t="s">
        <v>65</v>
      </c>
      <c r="D938">
        <v>1</v>
      </c>
      <c r="E938">
        <v>562</v>
      </c>
      <c r="F938">
        <v>562</v>
      </c>
      <c r="G938" t="s">
        <v>27</v>
      </c>
      <c r="H938">
        <v>2025</v>
      </c>
      <c r="I938" t="s">
        <v>1357</v>
      </c>
      <c r="J938" t="s">
        <v>1366</v>
      </c>
    </row>
    <row r="939" spans="1:10" x14ac:dyDescent="0.3">
      <c r="A939" s="21">
        <v>45975</v>
      </c>
      <c r="B939" t="s">
        <v>1269</v>
      </c>
      <c r="C939" t="s">
        <v>38</v>
      </c>
      <c r="D939">
        <v>3</v>
      </c>
      <c r="E939">
        <v>479</v>
      </c>
      <c r="F939">
        <v>1437</v>
      </c>
      <c r="G939" t="s">
        <v>15</v>
      </c>
      <c r="H939">
        <v>2025</v>
      </c>
      <c r="I939" t="s">
        <v>1357</v>
      </c>
      <c r="J939" t="s">
        <v>1366</v>
      </c>
    </row>
    <row r="940" spans="1:10" x14ac:dyDescent="0.3">
      <c r="A940" s="21">
        <v>45975</v>
      </c>
      <c r="B940" t="s">
        <v>1239</v>
      </c>
      <c r="C940" t="s">
        <v>68</v>
      </c>
      <c r="D940">
        <v>5</v>
      </c>
      <c r="E940">
        <v>904</v>
      </c>
      <c r="F940">
        <v>4520</v>
      </c>
      <c r="G940" t="s">
        <v>11</v>
      </c>
      <c r="H940">
        <v>2025</v>
      </c>
      <c r="I940" t="s">
        <v>1357</v>
      </c>
      <c r="J940" t="s">
        <v>1366</v>
      </c>
    </row>
    <row r="941" spans="1:10" x14ac:dyDescent="0.3">
      <c r="A941" s="21">
        <v>45976</v>
      </c>
      <c r="B941" t="s">
        <v>1058</v>
      </c>
      <c r="C941" t="s">
        <v>18</v>
      </c>
      <c r="D941">
        <v>5</v>
      </c>
      <c r="E941">
        <v>359</v>
      </c>
      <c r="F941">
        <v>1795</v>
      </c>
      <c r="G941" t="s">
        <v>7</v>
      </c>
      <c r="H941">
        <v>2025</v>
      </c>
      <c r="I941" t="s">
        <v>1357</v>
      </c>
      <c r="J941" t="s">
        <v>1359</v>
      </c>
    </row>
    <row r="942" spans="1:10" x14ac:dyDescent="0.3">
      <c r="A942" s="21">
        <v>45977</v>
      </c>
      <c r="B942" t="s">
        <v>628</v>
      </c>
      <c r="C942" t="s">
        <v>10</v>
      </c>
      <c r="D942">
        <v>6</v>
      </c>
      <c r="E942">
        <v>345</v>
      </c>
      <c r="F942">
        <v>2070</v>
      </c>
      <c r="G942" t="s">
        <v>15</v>
      </c>
      <c r="H942">
        <v>2025</v>
      </c>
      <c r="I942" t="s">
        <v>1357</v>
      </c>
      <c r="J942" t="s">
        <v>1361</v>
      </c>
    </row>
    <row r="943" spans="1:10" x14ac:dyDescent="0.3">
      <c r="A943" s="21">
        <v>45978</v>
      </c>
      <c r="B943" t="s">
        <v>957</v>
      </c>
      <c r="C943" t="s">
        <v>65</v>
      </c>
      <c r="D943">
        <v>3</v>
      </c>
      <c r="E943">
        <v>985</v>
      </c>
      <c r="F943">
        <v>2955</v>
      </c>
      <c r="G943" t="s">
        <v>7</v>
      </c>
      <c r="H943">
        <v>2025</v>
      </c>
      <c r="I943" t="s">
        <v>1357</v>
      </c>
      <c r="J943" t="s">
        <v>1363</v>
      </c>
    </row>
    <row r="944" spans="1:10" x14ac:dyDescent="0.3">
      <c r="A944" s="21">
        <v>45979</v>
      </c>
      <c r="B944" t="s">
        <v>445</v>
      </c>
      <c r="C944" t="s">
        <v>38</v>
      </c>
      <c r="D944">
        <v>1</v>
      </c>
      <c r="E944">
        <v>996</v>
      </c>
      <c r="F944">
        <v>996</v>
      </c>
      <c r="G944" t="s">
        <v>33</v>
      </c>
      <c r="H944">
        <v>2025</v>
      </c>
      <c r="I944" t="s">
        <v>1357</v>
      </c>
      <c r="J944" t="s">
        <v>1353</v>
      </c>
    </row>
    <row r="945" spans="1:10" x14ac:dyDescent="0.3">
      <c r="A945" s="21">
        <v>45980</v>
      </c>
      <c r="B945" t="s">
        <v>802</v>
      </c>
      <c r="C945" t="s">
        <v>65</v>
      </c>
      <c r="D945">
        <v>6</v>
      </c>
      <c r="E945">
        <v>624</v>
      </c>
      <c r="F945">
        <v>3744</v>
      </c>
      <c r="G945" t="s">
        <v>27</v>
      </c>
      <c r="H945">
        <v>2025</v>
      </c>
      <c r="I945" t="s">
        <v>1357</v>
      </c>
      <c r="J945" t="s">
        <v>1358</v>
      </c>
    </row>
    <row r="946" spans="1:10" x14ac:dyDescent="0.3">
      <c r="A946" s="21">
        <v>45982</v>
      </c>
      <c r="B946" t="s">
        <v>1187</v>
      </c>
      <c r="C946" t="s">
        <v>65</v>
      </c>
      <c r="D946">
        <v>1</v>
      </c>
      <c r="E946">
        <v>124</v>
      </c>
      <c r="F946">
        <v>124</v>
      </c>
      <c r="G946" t="s">
        <v>7</v>
      </c>
      <c r="H946">
        <v>2025</v>
      </c>
      <c r="I946" t="s">
        <v>1357</v>
      </c>
      <c r="J946" t="s">
        <v>1366</v>
      </c>
    </row>
    <row r="947" spans="1:10" x14ac:dyDescent="0.3">
      <c r="A947" s="21">
        <v>45983</v>
      </c>
      <c r="B947" t="s">
        <v>658</v>
      </c>
      <c r="C947" t="s">
        <v>6</v>
      </c>
      <c r="D947">
        <v>4</v>
      </c>
      <c r="E947">
        <v>823</v>
      </c>
      <c r="F947">
        <v>3292</v>
      </c>
      <c r="G947" t="s">
        <v>7</v>
      </c>
      <c r="H947">
        <v>2025</v>
      </c>
      <c r="I947" t="s">
        <v>1357</v>
      </c>
      <c r="J947" t="s">
        <v>1359</v>
      </c>
    </row>
    <row r="948" spans="1:10" x14ac:dyDescent="0.3">
      <c r="A948" s="21">
        <v>45984</v>
      </c>
      <c r="B948" t="s">
        <v>373</v>
      </c>
      <c r="C948" t="s">
        <v>18</v>
      </c>
      <c r="D948">
        <v>2</v>
      </c>
      <c r="E948">
        <v>848</v>
      </c>
      <c r="F948">
        <v>1696</v>
      </c>
      <c r="G948" t="s">
        <v>19</v>
      </c>
      <c r="H948">
        <v>2025</v>
      </c>
      <c r="I948" t="s">
        <v>1357</v>
      </c>
      <c r="J948" t="s">
        <v>1361</v>
      </c>
    </row>
    <row r="949" spans="1:10" x14ac:dyDescent="0.3">
      <c r="A949" s="21">
        <v>45984</v>
      </c>
      <c r="B949" t="s">
        <v>739</v>
      </c>
      <c r="C949" t="s">
        <v>14</v>
      </c>
      <c r="D949">
        <v>5</v>
      </c>
      <c r="E949">
        <v>851</v>
      </c>
      <c r="F949">
        <v>4255</v>
      </c>
      <c r="G949" t="s">
        <v>15</v>
      </c>
      <c r="H949">
        <v>2025</v>
      </c>
      <c r="I949" t="s">
        <v>1357</v>
      </c>
      <c r="J949" t="s">
        <v>1361</v>
      </c>
    </row>
    <row r="950" spans="1:10" x14ac:dyDescent="0.3">
      <c r="A950" s="21">
        <v>45985</v>
      </c>
      <c r="B950" t="s">
        <v>871</v>
      </c>
      <c r="C950" t="s">
        <v>38</v>
      </c>
      <c r="D950">
        <v>4</v>
      </c>
      <c r="E950">
        <v>347</v>
      </c>
      <c r="F950">
        <v>1388</v>
      </c>
      <c r="G950" t="s">
        <v>7</v>
      </c>
      <c r="H950">
        <v>2025</v>
      </c>
      <c r="I950" t="s">
        <v>1357</v>
      </c>
      <c r="J950" t="s">
        <v>1363</v>
      </c>
    </row>
    <row r="951" spans="1:10" x14ac:dyDescent="0.3">
      <c r="A951" s="21">
        <v>45985</v>
      </c>
      <c r="B951" t="s">
        <v>634</v>
      </c>
      <c r="C951" t="s">
        <v>18</v>
      </c>
      <c r="D951">
        <v>5</v>
      </c>
      <c r="E951">
        <v>566</v>
      </c>
      <c r="F951">
        <v>2830</v>
      </c>
      <c r="G951" t="s">
        <v>11</v>
      </c>
      <c r="H951">
        <v>2025</v>
      </c>
      <c r="I951" t="s">
        <v>1357</v>
      </c>
      <c r="J951" t="s">
        <v>1363</v>
      </c>
    </row>
    <row r="952" spans="1:10" x14ac:dyDescent="0.3">
      <c r="A952" s="21">
        <v>45985</v>
      </c>
      <c r="B952" t="s">
        <v>826</v>
      </c>
      <c r="C952" t="s">
        <v>68</v>
      </c>
      <c r="D952">
        <v>5</v>
      </c>
      <c r="E952">
        <v>872</v>
      </c>
      <c r="F952">
        <v>4360</v>
      </c>
      <c r="G952" t="s">
        <v>19</v>
      </c>
      <c r="H952">
        <v>2025</v>
      </c>
      <c r="I952" t="s">
        <v>1357</v>
      </c>
      <c r="J952" t="s">
        <v>1363</v>
      </c>
    </row>
    <row r="953" spans="1:10" x14ac:dyDescent="0.3">
      <c r="A953" s="21">
        <v>45986</v>
      </c>
      <c r="B953" t="s">
        <v>160</v>
      </c>
      <c r="C953" t="s">
        <v>30</v>
      </c>
      <c r="D953">
        <v>6</v>
      </c>
      <c r="E953">
        <v>118</v>
      </c>
      <c r="F953">
        <v>708</v>
      </c>
      <c r="G953" t="s">
        <v>19</v>
      </c>
      <c r="H953">
        <v>2025</v>
      </c>
      <c r="I953" t="s">
        <v>1357</v>
      </c>
      <c r="J953" t="s">
        <v>1353</v>
      </c>
    </row>
    <row r="954" spans="1:10" x14ac:dyDescent="0.3">
      <c r="A954" s="21">
        <v>45986</v>
      </c>
      <c r="B954" t="s">
        <v>1264</v>
      </c>
      <c r="C954" t="s">
        <v>24</v>
      </c>
      <c r="D954">
        <v>2</v>
      </c>
      <c r="E954">
        <v>833</v>
      </c>
      <c r="F954">
        <v>1666</v>
      </c>
      <c r="G954" t="s">
        <v>33</v>
      </c>
      <c r="H954">
        <v>2025</v>
      </c>
      <c r="I954" t="s">
        <v>1357</v>
      </c>
      <c r="J954" t="s">
        <v>1353</v>
      </c>
    </row>
    <row r="955" spans="1:10" x14ac:dyDescent="0.3">
      <c r="A955" s="21">
        <v>45987</v>
      </c>
      <c r="B955" t="s">
        <v>1108</v>
      </c>
      <c r="C955" t="s">
        <v>18</v>
      </c>
      <c r="D955">
        <v>1</v>
      </c>
      <c r="E955">
        <v>612</v>
      </c>
      <c r="F955">
        <v>612</v>
      </c>
      <c r="G955" t="s">
        <v>33</v>
      </c>
      <c r="H955">
        <v>2025</v>
      </c>
      <c r="I955" t="s">
        <v>1357</v>
      </c>
      <c r="J955" t="s">
        <v>1358</v>
      </c>
    </row>
    <row r="956" spans="1:10" x14ac:dyDescent="0.3">
      <c r="A956" s="21">
        <v>45987</v>
      </c>
      <c r="B956" t="s">
        <v>615</v>
      </c>
      <c r="C956" t="s">
        <v>30</v>
      </c>
      <c r="D956">
        <v>1</v>
      </c>
      <c r="E956">
        <v>832</v>
      </c>
      <c r="F956">
        <v>832</v>
      </c>
      <c r="G956" t="s">
        <v>33</v>
      </c>
      <c r="H956">
        <v>2025</v>
      </c>
      <c r="I956" t="s">
        <v>1357</v>
      </c>
      <c r="J956" t="s">
        <v>1358</v>
      </c>
    </row>
    <row r="957" spans="1:10" x14ac:dyDescent="0.3">
      <c r="A957" s="21">
        <v>45988</v>
      </c>
      <c r="B957" t="s">
        <v>1031</v>
      </c>
      <c r="C957" t="s">
        <v>65</v>
      </c>
      <c r="D957">
        <v>3</v>
      </c>
      <c r="E957">
        <v>704</v>
      </c>
      <c r="F957">
        <v>2112</v>
      </c>
      <c r="G957" t="s">
        <v>27</v>
      </c>
      <c r="H957">
        <v>2025</v>
      </c>
      <c r="I957" t="s">
        <v>1357</v>
      </c>
      <c r="J957" t="s">
        <v>1356</v>
      </c>
    </row>
    <row r="958" spans="1:10" x14ac:dyDescent="0.3">
      <c r="A958" s="21">
        <v>45989</v>
      </c>
      <c r="B958" t="s">
        <v>925</v>
      </c>
      <c r="C958" t="s">
        <v>14</v>
      </c>
      <c r="D958">
        <v>3</v>
      </c>
      <c r="E958">
        <v>55</v>
      </c>
      <c r="F958">
        <v>165</v>
      </c>
      <c r="G958" t="s">
        <v>33</v>
      </c>
      <c r="H958">
        <v>2025</v>
      </c>
      <c r="I958" t="s">
        <v>1357</v>
      </c>
      <c r="J958" t="s">
        <v>1366</v>
      </c>
    </row>
    <row r="959" spans="1:10" x14ac:dyDescent="0.3">
      <c r="A959" s="21">
        <v>45990</v>
      </c>
      <c r="B959" t="s">
        <v>589</v>
      </c>
      <c r="C959" t="s">
        <v>30</v>
      </c>
      <c r="D959">
        <v>2</v>
      </c>
      <c r="E959">
        <v>101</v>
      </c>
      <c r="F959">
        <v>202</v>
      </c>
      <c r="G959" t="s">
        <v>27</v>
      </c>
      <c r="H959">
        <v>2025</v>
      </c>
      <c r="I959" t="s">
        <v>1357</v>
      </c>
      <c r="J959" t="s">
        <v>1359</v>
      </c>
    </row>
    <row r="960" spans="1:10" x14ac:dyDescent="0.3">
      <c r="A960" s="21">
        <v>45990</v>
      </c>
      <c r="B960" t="s">
        <v>105</v>
      </c>
      <c r="C960" t="s">
        <v>65</v>
      </c>
      <c r="D960">
        <v>5</v>
      </c>
      <c r="E960">
        <v>93</v>
      </c>
      <c r="F960">
        <v>465</v>
      </c>
      <c r="G960" t="s">
        <v>15</v>
      </c>
      <c r="H960">
        <v>2025</v>
      </c>
      <c r="I960" t="s">
        <v>1357</v>
      </c>
      <c r="J960" t="s">
        <v>1359</v>
      </c>
    </row>
    <row r="961" spans="1:10" x14ac:dyDescent="0.3">
      <c r="A961" s="21">
        <v>45990</v>
      </c>
      <c r="B961" t="s">
        <v>1156</v>
      </c>
      <c r="C961" t="s">
        <v>68</v>
      </c>
      <c r="D961">
        <v>5</v>
      </c>
      <c r="E961">
        <v>550</v>
      </c>
      <c r="F961">
        <v>2750</v>
      </c>
      <c r="G961" t="s">
        <v>11</v>
      </c>
      <c r="H961">
        <v>2025</v>
      </c>
      <c r="I961" t="s">
        <v>1357</v>
      </c>
      <c r="J961" t="s">
        <v>1359</v>
      </c>
    </row>
    <row r="962" spans="1:10" x14ac:dyDescent="0.3">
      <c r="A962" s="21">
        <v>45991</v>
      </c>
      <c r="B962" t="s">
        <v>92</v>
      </c>
      <c r="C962" t="s">
        <v>38</v>
      </c>
      <c r="D962">
        <v>2</v>
      </c>
      <c r="E962">
        <v>784</v>
      </c>
      <c r="F962">
        <v>1568</v>
      </c>
      <c r="G962" t="s">
        <v>11</v>
      </c>
      <c r="H962">
        <v>2025</v>
      </c>
      <c r="I962" t="s">
        <v>1357</v>
      </c>
      <c r="J962" t="s">
        <v>1361</v>
      </c>
    </row>
    <row r="963" spans="1:10" x14ac:dyDescent="0.3">
      <c r="A963" s="21">
        <v>45992</v>
      </c>
      <c r="B963" t="s">
        <v>708</v>
      </c>
      <c r="C963" t="s">
        <v>38</v>
      </c>
      <c r="D963">
        <v>1</v>
      </c>
      <c r="E963">
        <v>626</v>
      </c>
      <c r="F963">
        <v>626</v>
      </c>
      <c r="G963" t="s">
        <v>27</v>
      </c>
      <c r="H963">
        <v>2025</v>
      </c>
      <c r="I963" t="s">
        <v>1370</v>
      </c>
      <c r="J963" t="s">
        <v>1363</v>
      </c>
    </row>
    <row r="964" spans="1:10" x14ac:dyDescent="0.3">
      <c r="A964" s="21">
        <v>45992</v>
      </c>
      <c r="B964" t="s">
        <v>133</v>
      </c>
      <c r="C964" t="s">
        <v>6</v>
      </c>
      <c r="D964">
        <v>6</v>
      </c>
      <c r="E964">
        <v>422</v>
      </c>
      <c r="F964">
        <v>2532</v>
      </c>
      <c r="G964" t="s">
        <v>11</v>
      </c>
      <c r="H964">
        <v>2025</v>
      </c>
      <c r="I964" t="s">
        <v>1370</v>
      </c>
      <c r="J964" t="s">
        <v>1363</v>
      </c>
    </row>
    <row r="965" spans="1:10" x14ac:dyDescent="0.3">
      <c r="A965" s="21">
        <v>45992</v>
      </c>
      <c r="B965" t="s">
        <v>864</v>
      </c>
      <c r="C965" t="s">
        <v>18</v>
      </c>
      <c r="D965">
        <v>3</v>
      </c>
      <c r="E965">
        <v>967</v>
      </c>
      <c r="F965">
        <v>2901</v>
      </c>
      <c r="G965" t="s">
        <v>19</v>
      </c>
      <c r="H965">
        <v>2025</v>
      </c>
      <c r="I965" t="s">
        <v>1370</v>
      </c>
      <c r="J965" t="s">
        <v>1363</v>
      </c>
    </row>
    <row r="966" spans="1:10" x14ac:dyDescent="0.3">
      <c r="A966" s="21">
        <v>45994</v>
      </c>
      <c r="B966" t="s">
        <v>172</v>
      </c>
      <c r="C966" t="s">
        <v>18</v>
      </c>
      <c r="D966">
        <v>1</v>
      </c>
      <c r="E966">
        <v>630</v>
      </c>
      <c r="F966">
        <v>630</v>
      </c>
      <c r="G966" t="s">
        <v>27</v>
      </c>
      <c r="H966">
        <v>2025</v>
      </c>
      <c r="I966" t="s">
        <v>1370</v>
      </c>
      <c r="J966" t="s">
        <v>1358</v>
      </c>
    </row>
    <row r="967" spans="1:10" x14ac:dyDescent="0.3">
      <c r="A967" s="21">
        <v>45995</v>
      </c>
      <c r="B967" t="s">
        <v>1243</v>
      </c>
      <c r="C967" t="s">
        <v>68</v>
      </c>
      <c r="D967">
        <v>4</v>
      </c>
      <c r="E967">
        <v>355</v>
      </c>
      <c r="F967">
        <v>1420</v>
      </c>
      <c r="G967" t="s">
        <v>33</v>
      </c>
      <c r="H967">
        <v>2025</v>
      </c>
      <c r="I967" t="s">
        <v>1370</v>
      </c>
      <c r="J967" t="s">
        <v>1356</v>
      </c>
    </row>
    <row r="968" spans="1:10" x14ac:dyDescent="0.3">
      <c r="A968" s="21">
        <v>45996</v>
      </c>
      <c r="B968" t="s">
        <v>23</v>
      </c>
      <c r="C968" t="s">
        <v>24</v>
      </c>
      <c r="D968">
        <v>6</v>
      </c>
      <c r="E968">
        <v>966</v>
      </c>
      <c r="F968">
        <v>5796</v>
      </c>
      <c r="G968" t="s">
        <v>15</v>
      </c>
      <c r="H968">
        <v>2025</v>
      </c>
      <c r="I968" t="s">
        <v>1370</v>
      </c>
      <c r="J968" t="s">
        <v>1366</v>
      </c>
    </row>
    <row r="969" spans="1:10" x14ac:dyDescent="0.3">
      <c r="A969" s="21">
        <v>45997</v>
      </c>
      <c r="B969" t="s">
        <v>1294</v>
      </c>
      <c r="C969" t="s">
        <v>14</v>
      </c>
      <c r="D969">
        <v>1</v>
      </c>
      <c r="E969">
        <v>602</v>
      </c>
      <c r="F969">
        <v>602</v>
      </c>
      <c r="G969" t="s">
        <v>15</v>
      </c>
      <c r="H969">
        <v>2025</v>
      </c>
      <c r="I969" t="s">
        <v>1370</v>
      </c>
      <c r="J969" t="s">
        <v>1359</v>
      </c>
    </row>
    <row r="970" spans="1:10" x14ac:dyDescent="0.3">
      <c r="A970" s="21">
        <v>45997</v>
      </c>
      <c r="B970" t="s">
        <v>937</v>
      </c>
      <c r="C970" t="s">
        <v>6</v>
      </c>
      <c r="D970">
        <v>2</v>
      </c>
      <c r="E970">
        <v>824</v>
      </c>
      <c r="F970">
        <v>1648</v>
      </c>
      <c r="G970" t="s">
        <v>7</v>
      </c>
      <c r="H970">
        <v>2025</v>
      </c>
      <c r="I970" t="s">
        <v>1370</v>
      </c>
      <c r="J970" t="s">
        <v>1359</v>
      </c>
    </row>
    <row r="971" spans="1:10" x14ac:dyDescent="0.3">
      <c r="A971" s="21">
        <v>45999</v>
      </c>
      <c r="B971" t="s">
        <v>370</v>
      </c>
      <c r="C971" t="s">
        <v>10</v>
      </c>
      <c r="D971">
        <v>5</v>
      </c>
      <c r="E971">
        <v>949</v>
      </c>
      <c r="F971">
        <v>4745</v>
      </c>
      <c r="G971" t="s">
        <v>19</v>
      </c>
      <c r="H971">
        <v>2025</v>
      </c>
      <c r="I971" t="s">
        <v>1370</v>
      </c>
      <c r="J971" t="s">
        <v>1363</v>
      </c>
    </row>
    <row r="972" spans="1:10" x14ac:dyDescent="0.3">
      <c r="A972" s="21">
        <v>46000</v>
      </c>
      <c r="B972" t="s">
        <v>1084</v>
      </c>
      <c r="C972" t="s">
        <v>79</v>
      </c>
      <c r="D972">
        <v>6</v>
      </c>
      <c r="E972">
        <v>959</v>
      </c>
      <c r="F972">
        <v>5754</v>
      </c>
      <c r="G972" t="s">
        <v>7</v>
      </c>
      <c r="H972">
        <v>2025</v>
      </c>
      <c r="I972" t="s">
        <v>1370</v>
      </c>
      <c r="J972" t="s">
        <v>1353</v>
      </c>
    </row>
    <row r="973" spans="1:10" x14ac:dyDescent="0.3">
      <c r="A973" s="21">
        <v>46001</v>
      </c>
      <c r="B973" t="s">
        <v>207</v>
      </c>
      <c r="C973" t="s">
        <v>30</v>
      </c>
      <c r="D973">
        <v>5</v>
      </c>
      <c r="E973">
        <v>166</v>
      </c>
      <c r="F973">
        <v>830</v>
      </c>
      <c r="G973" t="s">
        <v>19</v>
      </c>
      <c r="H973">
        <v>2025</v>
      </c>
      <c r="I973" t="s">
        <v>1370</v>
      </c>
      <c r="J973" t="s">
        <v>1358</v>
      </c>
    </row>
    <row r="974" spans="1:10" x14ac:dyDescent="0.3">
      <c r="A974" s="21">
        <v>46001</v>
      </c>
      <c r="B974" t="s">
        <v>376</v>
      </c>
      <c r="C974" t="s">
        <v>10</v>
      </c>
      <c r="D974">
        <v>4</v>
      </c>
      <c r="E974">
        <v>705</v>
      </c>
      <c r="F974">
        <v>2820</v>
      </c>
      <c r="G974" t="s">
        <v>33</v>
      </c>
      <c r="H974">
        <v>2025</v>
      </c>
      <c r="I974" t="s">
        <v>1370</v>
      </c>
      <c r="J974" t="s">
        <v>1358</v>
      </c>
    </row>
    <row r="975" spans="1:10" x14ac:dyDescent="0.3">
      <c r="A975" s="21">
        <v>46002</v>
      </c>
      <c r="B975" t="s">
        <v>1318</v>
      </c>
      <c r="C975" t="s">
        <v>38</v>
      </c>
      <c r="D975">
        <v>1</v>
      </c>
      <c r="E975">
        <v>583</v>
      </c>
      <c r="F975">
        <v>583</v>
      </c>
      <c r="G975" t="s">
        <v>11</v>
      </c>
      <c r="H975">
        <v>2025</v>
      </c>
      <c r="I975" t="s">
        <v>1370</v>
      </c>
      <c r="J975" t="s">
        <v>1356</v>
      </c>
    </row>
    <row r="976" spans="1:10" x14ac:dyDescent="0.3">
      <c r="A976" s="21">
        <v>46002</v>
      </c>
      <c r="B976" t="s">
        <v>1103</v>
      </c>
      <c r="C976" t="s">
        <v>68</v>
      </c>
      <c r="D976">
        <v>2</v>
      </c>
      <c r="E976">
        <v>815</v>
      </c>
      <c r="F976">
        <v>1630</v>
      </c>
      <c r="G976" t="s">
        <v>33</v>
      </c>
      <c r="H976">
        <v>2025</v>
      </c>
      <c r="I976" t="s">
        <v>1370</v>
      </c>
      <c r="J976" t="s">
        <v>1356</v>
      </c>
    </row>
    <row r="977" spans="1:10" x14ac:dyDescent="0.3">
      <c r="A977" s="21">
        <v>46003</v>
      </c>
      <c r="B977" t="s">
        <v>890</v>
      </c>
      <c r="C977" t="s">
        <v>68</v>
      </c>
      <c r="D977">
        <v>4</v>
      </c>
      <c r="E977">
        <v>625</v>
      </c>
      <c r="F977">
        <v>2500</v>
      </c>
      <c r="G977" t="s">
        <v>19</v>
      </c>
      <c r="H977">
        <v>2025</v>
      </c>
      <c r="I977" t="s">
        <v>1370</v>
      </c>
      <c r="J977" t="s">
        <v>1366</v>
      </c>
    </row>
    <row r="978" spans="1:10" x14ac:dyDescent="0.3">
      <c r="A978" s="21">
        <v>46003</v>
      </c>
      <c r="B978" t="s">
        <v>1021</v>
      </c>
      <c r="C978" t="s">
        <v>38</v>
      </c>
      <c r="D978">
        <v>6</v>
      </c>
      <c r="E978">
        <v>859</v>
      </c>
      <c r="F978">
        <v>5154</v>
      </c>
      <c r="G978" t="s">
        <v>27</v>
      </c>
      <c r="H978">
        <v>2025</v>
      </c>
      <c r="I978" t="s">
        <v>1370</v>
      </c>
      <c r="J978" t="s">
        <v>1366</v>
      </c>
    </row>
    <row r="979" spans="1:10" x14ac:dyDescent="0.3">
      <c r="A979" s="21">
        <v>46004</v>
      </c>
      <c r="B979" t="s">
        <v>1310</v>
      </c>
      <c r="C979" t="s">
        <v>6</v>
      </c>
      <c r="D979">
        <v>1</v>
      </c>
      <c r="E979">
        <v>738</v>
      </c>
      <c r="F979">
        <v>738</v>
      </c>
      <c r="G979" t="s">
        <v>11</v>
      </c>
      <c r="H979">
        <v>2025</v>
      </c>
      <c r="I979" t="s">
        <v>1370</v>
      </c>
      <c r="J979" t="s">
        <v>1359</v>
      </c>
    </row>
    <row r="980" spans="1:10" x14ac:dyDescent="0.3">
      <c r="A980" s="21">
        <v>46004</v>
      </c>
      <c r="B980" t="s">
        <v>701</v>
      </c>
      <c r="C980" t="s">
        <v>68</v>
      </c>
      <c r="D980">
        <v>3</v>
      </c>
      <c r="E980">
        <v>657</v>
      </c>
      <c r="F980">
        <v>1971</v>
      </c>
      <c r="G980" t="s">
        <v>27</v>
      </c>
      <c r="H980">
        <v>2025</v>
      </c>
      <c r="I980" t="s">
        <v>1370</v>
      </c>
      <c r="J980" t="s">
        <v>1359</v>
      </c>
    </row>
    <row r="981" spans="1:10" x14ac:dyDescent="0.3">
      <c r="A981" s="21">
        <v>46006</v>
      </c>
      <c r="B981" t="s">
        <v>315</v>
      </c>
      <c r="C981" t="s">
        <v>6</v>
      </c>
      <c r="D981">
        <v>5</v>
      </c>
      <c r="E981">
        <v>76</v>
      </c>
      <c r="F981">
        <v>380</v>
      </c>
      <c r="G981" t="s">
        <v>15</v>
      </c>
      <c r="H981">
        <v>2025</v>
      </c>
      <c r="I981" t="s">
        <v>1370</v>
      </c>
      <c r="J981" t="s">
        <v>1363</v>
      </c>
    </row>
    <row r="982" spans="1:10" x14ac:dyDescent="0.3">
      <c r="A982" s="21">
        <v>46007</v>
      </c>
      <c r="B982" t="s">
        <v>886</v>
      </c>
      <c r="C982" t="s">
        <v>38</v>
      </c>
      <c r="D982">
        <v>1</v>
      </c>
      <c r="E982">
        <v>256</v>
      </c>
      <c r="F982">
        <v>256</v>
      </c>
      <c r="G982" t="s">
        <v>11</v>
      </c>
      <c r="H982">
        <v>2025</v>
      </c>
      <c r="I982" t="s">
        <v>1370</v>
      </c>
      <c r="J982" t="s">
        <v>1353</v>
      </c>
    </row>
    <row r="983" spans="1:10" x14ac:dyDescent="0.3">
      <c r="A983" s="21">
        <v>46007</v>
      </c>
      <c r="B983" t="s">
        <v>1098</v>
      </c>
      <c r="C983" t="s">
        <v>18</v>
      </c>
      <c r="D983">
        <v>3</v>
      </c>
      <c r="E983">
        <v>539</v>
      </c>
      <c r="F983">
        <v>1617</v>
      </c>
      <c r="G983" t="s">
        <v>27</v>
      </c>
      <c r="H983">
        <v>2025</v>
      </c>
      <c r="I983" t="s">
        <v>1370</v>
      </c>
      <c r="J983" t="s">
        <v>1353</v>
      </c>
    </row>
    <row r="984" spans="1:10" x14ac:dyDescent="0.3">
      <c r="A984" s="21">
        <v>46009</v>
      </c>
      <c r="B984" t="s">
        <v>969</v>
      </c>
      <c r="C984" t="s">
        <v>6</v>
      </c>
      <c r="D984">
        <v>1</v>
      </c>
      <c r="E984">
        <v>456</v>
      </c>
      <c r="F984">
        <v>456</v>
      </c>
      <c r="G984" t="s">
        <v>11</v>
      </c>
      <c r="H984">
        <v>2025</v>
      </c>
      <c r="I984" t="s">
        <v>1370</v>
      </c>
      <c r="J984" t="s">
        <v>1356</v>
      </c>
    </row>
    <row r="985" spans="1:10" x14ac:dyDescent="0.3">
      <c r="A985" s="21">
        <v>46009</v>
      </c>
      <c r="B985" t="s">
        <v>222</v>
      </c>
      <c r="C985" t="s">
        <v>79</v>
      </c>
      <c r="D985">
        <v>5</v>
      </c>
      <c r="E985">
        <v>625</v>
      </c>
      <c r="F985">
        <v>3125</v>
      </c>
      <c r="G985" t="s">
        <v>27</v>
      </c>
      <c r="H985">
        <v>2025</v>
      </c>
      <c r="I985" t="s">
        <v>1370</v>
      </c>
      <c r="J985" t="s">
        <v>1356</v>
      </c>
    </row>
    <row r="986" spans="1:10" x14ac:dyDescent="0.3">
      <c r="A986" s="21">
        <v>46010</v>
      </c>
      <c r="B986" t="s">
        <v>977</v>
      </c>
      <c r="C986" t="s">
        <v>68</v>
      </c>
      <c r="D986">
        <v>1</v>
      </c>
      <c r="E986">
        <v>346</v>
      </c>
      <c r="F986">
        <v>346</v>
      </c>
      <c r="G986" t="s">
        <v>7</v>
      </c>
      <c r="H986">
        <v>2025</v>
      </c>
      <c r="I986" t="s">
        <v>1370</v>
      </c>
      <c r="J986" t="s">
        <v>1366</v>
      </c>
    </row>
    <row r="987" spans="1:10" x14ac:dyDescent="0.3">
      <c r="A987" s="21">
        <v>46010</v>
      </c>
      <c r="B987" t="s">
        <v>185</v>
      </c>
      <c r="C987" t="s">
        <v>14</v>
      </c>
      <c r="D987">
        <v>3</v>
      </c>
      <c r="E987">
        <v>430</v>
      </c>
      <c r="F987">
        <v>1290</v>
      </c>
      <c r="G987" t="s">
        <v>7</v>
      </c>
      <c r="H987">
        <v>2025</v>
      </c>
      <c r="I987" t="s">
        <v>1370</v>
      </c>
      <c r="J987" t="s">
        <v>1366</v>
      </c>
    </row>
    <row r="988" spans="1:10" x14ac:dyDescent="0.3">
      <c r="A988" s="21">
        <v>46011</v>
      </c>
      <c r="B988" t="s">
        <v>620</v>
      </c>
      <c r="C988" t="s">
        <v>24</v>
      </c>
      <c r="D988">
        <v>2</v>
      </c>
      <c r="E988">
        <v>102</v>
      </c>
      <c r="F988">
        <v>204</v>
      </c>
      <c r="G988" t="s">
        <v>33</v>
      </c>
      <c r="H988">
        <v>2025</v>
      </c>
      <c r="I988" t="s">
        <v>1370</v>
      </c>
      <c r="J988" t="s">
        <v>1359</v>
      </c>
    </row>
    <row r="989" spans="1:10" x14ac:dyDescent="0.3">
      <c r="A989" s="21">
        <v>46011</v>
      </c>
      <c r="B989" t="s">
        <v>759</v>
      </c>
      <c r="C989" t="s">
        <v>38</v>
      </c>
      <c r="D989">
        <v>3</v>
      </c>
      <c r="E989">
        <v>439</v>
      </c>
      <c r="F989">
        <v>1317</v>
      </c>
      <c r="G989" t="s">
        <v>11</v>
      </c>
      <c r="H989">
        <v>2025</v>
      </c>
      <c r="I989" t="s">
        <v>1370</v>
      </c>
      <c r="J989" t="s">
        <v>1359</v>
      </c>
    </row>
    <row r="990" spans="1:10" x14ac:dyDescent="0.3">
      <c r="A990" s="21">
        <v>46012</v>
      </c>
      <c r="B990" t="s">
        <v>403</v>
      </c>
      <c r="C990" t="s">
        <v>38</v>
      </c>
      <c r="D990">
        <v>3</v>
      </c>
      <c r="E990">
        <v>966</v>
      </c>
      <c r="F990">
        <v>2898</v>
      </c>
      <c r="G990" t="s">
        <v>15</v>
      </c>
      <c r="H990">
        <v>2025</v>
      </c>
      <c r="I990" t="s">
        <v>1370</v>
      </c>
      <c r="J990" t="s">
        <v>1361</v>
      </c>
    </row>
    <row r="991" spans="1:10" x14ac:dyDescent="0.3">
      <c r="A991" s="21">
        <v>46013</v>
      </c>
      <c r="B991" t="s">
        <v>1323</v>
      </c>
      <c r="C991" t="s">
        <v>65</v>
      </c>
      <c r="D991">
        <v>4</v>
      </c>
      <c r="E991">
        <v>331</v>
      </c>
      <c r="F991">
        <v>1324</v>
      </c>
      <c r="G991" t="s">
        <v>19</v>
      </c>
      <c r="H991">
        <v>2025</v>
      </c>
      <c r="I991" t="s">
        <v>1370</v>
      </c>
      <c r="J991" t="s">
        <v>1363</v>
      </c>
    </row>
    <row r="992" spans="1:10" x14ac:dyDescent="0.3">
      <c r="A992" s="21">
        <v>46013</v>
      </c>
      <c r="B992" t="s">
        <v>551</v>
      </c>
      <c r="C992" t="s">
        <v>14</v>
      </c>
      <c r="D992">
        <v>2</v>
      </c>
      <c r="E992">
        <v>883</v>
      </c>
      <c r="F992">
        <v>1766</v>
      </c>
      <c r="G992" t="s">
        <v>7</v>
      </c>
      <c r="H992">
        <v>2025</v>
      </c>
      <c r="I992" t="s">
        <v>1370</v>
      </c>
      <c r="J992" t="s">
        <v>1363</v>
      </c>
    </row>
    <row r="993" spans="1:10" x14ac:dyDescent="0.3">
      <c r="A993" s="21">
        <v>46014</v>
      </c>
      <c r="B993" t="s">
        <v>49</v>
      </c>
      <c r="C993" t="s">
        <v>18</v>
      </c>
      <c r="D993">
        <v>4</v>
      </c>
      <c r="E993">
        <v>323</v>
      </c>
      <c r="F993">
        <v>1292</v>
      </c>
      <c r="G993" t="s">
        <v>15</v>
      </c>
      <c r="H993">
        <v>2025</v>
      </c>
      <c r="I993" t="s">
        <v>1370</v>
      </c>
      <c r="J993" t="s">
        <v>1353</v>
      </c>
    </row>
    <row r="994" spans="1:10" x14ac:dyDescent="0.3">
      <c r="A994" s="21">
        <v>46015</v>
      </c>
      <c r="B994" t="s">
        <v>284</v>
      </c>
      <c r="C994" t="s">
        <v>68</v>
      </c>
      <c r="D994">
        <v>3</v>
      </c>
      <c r="E994">
        <v>921</v>
      </c>
      <c r="F994">
        <v>2763</v>
      </c>
      <c r="G994" t="s">
        <v>7</v>
      </c>
      <c r="H994">
        <v>2025</v>
      </c>
      <c r="I994" t="s">
        <v>1370</v>
      </c>
      <c r="J994" t="s">
        <v>1358</v>
      </c>
    </row>
    <row r="995" spans="1:10" x14ac:dyDescent="0.3">
      <c r="A995" s="21">
        <v>46017</v>
      </c>
      <c r="B995" t="s">
        <v>395</v>
      </c>
      <c r="C995" t="s">
        <v>6</v>
      </c>
      <c r="D995">
        <v>1</v>
      </c>
      <c r="E995">
        <v>380</v>
      </c>
      <c r="F995">
        <v>380</v>
      </c>
      <c r="G995" t="s">
        <v>11</v>
      </c>
      <c r="H995">
        <v>2025</v>
      </c>
      <c r="I995" t="s">
        <v>1370</v>
      </c>
      <c r="J995" t="s">
        <v>1366</v>
      </c>
    </row>
    <row r="996" spans="1:10" x14ac:dyDescent="0.3">
      <c r="A996" s="21">
        <v>46017</v>
      </c>
      <c r="B996" t="s">
        <v>396</v>
      </c>
      <c r="C996" t="s">
        <v>6</v>
      </c>
      <c r="D996">
        <v>3</v>
      </c>
      <c r="E996">
        <v>776</v>
      </c>
      <c r="F996">
        <v>2328</v>
      </c>
      <c r="G996" t="s">
        <v>7</v>
      </c>
      <c r="H996">
        <v>2025</v>
      </c>
      <c r="I996" t="s">
        <v>1370</v>
      </c>
      <c r="J996" t="s">
        <v>1366</v>
      </c>
    </row>
    <row r="997" spans="1:10" x14ac:dyDescent="0.3">
      <c r="A997" s="21">
        <v>46019</v>
      </c>
      <c r="B997" t="s">
        <v>449</v>
      </c>
      <c r="C997" t="s">
        <v>65</v>
      </c>
      <c r="D997">
        <v>3</v>
      </c>
      <c r="E997">
        <v>92</v>
      </c>
      <c r="F997">
        <v>276</v>
      </c>
      <c r="G997" t="s">
        <v>7</v>
      </c>
      <c r="H997">
        <v>2025</v>
      </c>
      <c r="I997" t="s">
        <v>1370</v>
      </c>
      <c r="J997" t="s">
        <v>1361</v>
      </c>
    </row>
    <row r="998" spans="1:10" x14ac:dyDescent="0.3">
      <c r="A998" s="21">
        <v>46020</v>
      </c>
      <c r="B998" t="s">
        <v>468</v>
      </c>
      <c r="C998" t="s">
        <v>24</v>
      </c>
      <c r="D998">
        <v>4</v>
      </c>
      <c r="E998">
        <v>476</v>
      </c>
      <c r="F998">
        <v>1904</v>
      </c>
      <c r="G998" t="s">
        <v>7</v>
      </c>
      <c r="H998">
        <v>2025</v>
      </c>
      <c r="I998" t="s">
        <v>1370</v>
      </c>
      <c r="J998" t="s">
        <v>1363</v>
      </c>
    </row>
    <row r="999" spans="1:10" x14ac:dyDescent="0.3">
      <c r="A999" s="21">
        <v>46020</v>
      </c>
      <c r="B999" t="s">
        <v>486</v>
      </c>
      <c r="C999" t="s">
        <v>30</v>
      </c>
      <c r="D999">
        <v>3</v>
      </c>
      <c r="E999">
        <v>876</v>
      </c>
      <c r="F999">
        <v>2628</v>
      </c>
      <c r="G999" t="s">
        <v>11</v>
      </c>
      <c r="H999">
        <v>2025</v>
      </c>
      <c r="I999" t="s">
        <v>1370</v>
      </c>
      <c r="J999" t="s">
        <v>1363</v>
      </c>
    </row>
    <row r="1000" spans="1:10" x14ac:dyDescent="0.3">
      <c r="A1000" s="21">
        <v>46021</v>
      </c>
      <c r="B1000" t="s">
        <v>377</v>
      </c>
      <c r="C1000" t="s">
        <v>79</v>
      </c>
      <c r="D1000">
        <v>3</v>
      </c>
      <c r="E1000">
        <v>651</v>
      </c>
      <c r="F1000">
        <v>1953</v>
      </c>
      <c r="G1000" t="s">
        <v>15</v>
      </c>
      <c r="H1000">
        <v>2025</v>
      </c>
      <c r="I1000" t="s">
        <v>1370</v>
      </c>
      <c r="J1000" t="s">
        <v>1353</v>
      </c>
    </row>
    <row r="1001" spans="1:10" x14ac:dyDescent="0.3">
      <c r="A1001" s="21">
        <v>46021</v>
      </c>
      <c r="B1001" t="s">
        <v>117</v>
      </c>
      <c r="C1001" t="s">
        <v>14</v>
      </c>
      <c r="D1001">
        <v>6</v>
      </c>
      <c r="E1001">
        <v>495</v>
      </c>
      <c r="F1001">
        <v>2970</v>
      </c>
      <c r="G1001" t="s">
        <v>33</v>
      </c>
      <c r="H1001">
        <v>2025</v>
      </c>
      <c r="I1001" t="s">
        <v>1370</v>
      </c>
      <c r="J1001" t="s">
        <v>1353</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86796-E74D-4FF9-B3F0-4EAC7ECEDCDD}">
  <dimension ref="A3:P33"/>
  <sheetViews>
    <sheetView zoomScale="70" zoomScaleNormal="70" workbookViewId="0">
      <selection activeCell="E22" sqref="E22"/>
    </sheetView>
  </sheetViews>
  <sheetFormatPr defaultRowHeight="14.4" x14ac:dyDescent="0.3"/>
  <cols>
    <col min="1" max="1" width="23.21875" customWidth="1"/>
    <col min="2" max="2" width="16.77734375" customWidth="1"/>
    <col min="3" max="3" width="14.77734375" customWidth="1"/>
    <col min="4" max="4" width="18.6640625" customWidth="1"/>
    <col min="5" max="5" width="25.6640625" customWidth="1"/>
    <col min="6" max="6" width="12" bestFit="1" customWidth="1"/>
    <col min="7" max="7" width="24.33203125" customWidth="1"/>
    <col min="8" max="8" width="13.88671875" customWidth="1"/>
    <col min="9" max="9" width="11.109375" customWidth="1"/>
    <col min="10" max="10" width="12.44140625" customWidth="1"/>
    <col min="11" max="11" width="16.77734375" customWidth="1"/>
    <col min="12" max="12" width="18.6640625" customWidth="1"/>
    <col min="13" max="13" width="16.88671875" customWidth="1"/>
    <col min="14" max="14" width="13.5546875" customWidth="1"/>
    <col min="15" max="15" width="11.88671875" customWidth="1"/>
    <col min="16" max="16" width="12.77734375" customWidth="1"/>
  </cols>
  <sheetData>
    <row r="3" spans="1:16" x14ac:dyDescent="0.3">
      <c r="A3" s="22" t="s">
        <v>1346</v>
      </c>
      <c r="C3" t="s">
        <v>1345</v>
      </c>
      <c r="E3" s="19" t="s">
        <v>1373</v>
      </c>
      <c r="G3" s="27" t="s">
        <v>1372</v>
      </c>
    </row>
    <row r="4" spans="1:16" x14ac:dyDescent="0.3">
      <c r="A4" s="25">
        <v>1870223</v>
      </c>
      <c r="C4" s="18">
        <v>3497</v>
      </c>
      <c r="E4" s="25">
        <v>1870.223</v>
      </c>
      <c r="G4" s="23">
        <v>3.4969999999999999</v>
      </c>
    </row>
    <row r="7" spans="1:16" x14ac:dyDescent="0.3">
      <c r="A7" s="19" t="s">
        <v>1374</v>
      </c>
      <c r="B7" t="s">
        <v>1376</v>
      </c>
      <c r="D7" s="19" t="s">
        <v>1374</v>
      </c>
      <c r="E7" t="s">
        <v>1377</v>
      </c>
      <c r="G7" s="19" t="s">
        <v>3</v>
      </c>
      <c r="H7" t="s">
        <v>1377</v>
      </c>
      <c r="J7" s="19" t="s">
        <v>1347</v>
      </c>
      <c r="K7" t="s">
        <v>1376</v>
      </c>
      <c r="M7" s="19" t="s">
        <v>1375</v>
      </c>
      <c r="N7" t="s">
        <v>1377</v>
      </c>
      <c r="O7" t="s">
        <v>1379</v>
      </c>
      <c r="P7" t="s">
        <v>1378</v>
      </c>
    </row>
    <row r="8" spans="1:16" x14ac:dyDescent="0.3">
      <c r="A8" s="20" t="s">
        <v>6</v>
      </c>
      <c r="B8">
        <v>396</v>
      </c>
      <c r="D8" s="20" t="s">
        <v>14</v>
      </c>
      <c r="E8" s="24">
        <v>211770</v>
      </c>
      <c r="G8" s="20" t="s">
        <v>11</v>
      </c>
      <c r="H8" s="24">
        <v>332856</v>
      </c>
      <c r="J8" s="20" t="s">
        <v>1353</v>
      </c>
      <c r="K8">
        <v>587</v>
      </c>
      <c r="M8" s="20" t="s">
        <v>1367</v>
      </c>
      <c r="N8" s="24">
        <v>138906</v>
      </c>
      <c r="O8" s="25"/>
      <c r="P8" s="26"/>
    </row>
    <row r="9" spans="1:16" x14ac:dyDescent="0.3">
      <c r="A9" s="20" t="s">
        <v>30</v>
      </c>
      <c r="B9">
        <v>389</v>
      </c>
      <c r="D9" s="20" t="s">
        <v>6</v>
      </c>
      <c r="E9" s="24">
        <v>209422</v>
      </c>
      <c r="G9" s="20" t="s">
        <v>19</v>
      </c>
      <c r="H9" s="24">
        <v>322562</v>
      </c>
      <c r="J9" s="20" t="s">
        <v>1363</v>
      </c>
      <c r="K9">
        <v>535</v>
      </c>
      <c r="M9" s="20" t="s">
        <v>1352</v>
      </c>
      <c r="N9" s="24">
        <v>156213</v>
      </c>
      <c r="O9" s="25">
        <v>17307</v>
      </c>
      <c r="P9" s="26">
        <v>0.12459504988985357</v>
      </c>
    </row>
    <row r="10" spans="1:16" x14ac:dyDescent="0.3">
      <c r="A10" s="20" t="s">
        <v>14</v>
      </c>
      <c r="B10">
        <v>379</v>
      </c>
      <c r="D10" s="20" t="s">
        <v>30</v>
      </c>
      <c r="E10" s="24">
        <v>208467</v>
      </c>
      <c r="G10" s="20" t="s">
        <v>33</v>
      </c>
      <c r="H10" s="24">
        <v>322006</v>
      </c>
      <c r="J10" s="20" t="s">
        <v>1366</v>
      </c>
      <c r="K10">
        <v>532</v>
      </c>
      <c r="M10" s="20" t="s">
        <v>1354</v>
      </c>
      <c r="N10" s="24">
        <v>173446</v>
      </c>
      <c r="O10" s="25">
        <v>17233</v>
      </c>
      <c r="P10" s="26">
        <v>0.11031732314212006</v>
      </c>
    </row>
    <row r="11" spans="1:16" x14ac:dyDescent="0.3">
      <c r="A11" s="20" t="s">
        <v>18</v>
      </c>
      <c r="B11">
        <v>368</v>
      </c>
      <c r="D11" s="20" t="s">
        <v>10</v>
      </c>
      <c r="E11" s="24">
        <v>202513</v>
      </c>
      <c r="G11" s="20" t="s">
        <v>7</v>
      </c>
      <c r="H11" s="24">
        <v>302259</v>
      </c>
      <c r="J11" s="20" t="s">
        <v>1356</v>
      </c>
      <c r="K11">
        <v>504</v>
      </c>
      <c r="M11" s="20" t="s">
        <v>1355</v>
      </c>
      <c r="N11" s="24">
        <v>128994</v>
      </c>
      <c r="O11" s="25">
        <v>-44452</v>
      </c>
      <c r="P11" s="26">
        <v>-0.25628725943521324</v>
      </c>
    </row>
    <row r="12" spans="1:16" x14ac:dyDescent="0.3">
      <c r="A12" s="20" t="s">
        <v>10</v>
      </c>
      <c r="B12">
        <v>353</v>
      </c>
      <c r="D12" s="20" t="s">
        <v>18</v>
      </c>
      <c r="E12" s="24">
        <v>188171</v>
      </c>
      <c r="G12" s="20" t="s">
        <v>27</v>
      </c>
      <c r="H12" s="24">
        <v>295975</v>
      </c>
      <c r="J12" s="20" t="s">
        <v>1358</v>
      </c>
      <c r="K12">
        <v>475</v>
      </c>
      <c r="M12" s="20" t="s">
        <v>1368</v>
      </c>
      <c r="N12" s="24">
        <v>182697</v>
      </c>
      <c r="O12" s="25">
        <v>53703</v>
      </c>
      <c r="P12" s="26">
        <v>0.41632168938090142</v>
      </c>
    </row>
    <row r="13" spans="1:16" x14ac:dyDescent="0.3">
      <c r="A13" s="20" t="s">
        <v>68</v>
      </c>
      <c r="B13">
        <v>349</v>
      </c>
      <c r="D13" s="20" t="s">
        <v>38</v>
      </c>
      <c r="E13" s="24">
        <v>181056</v>
      </c>
      <c r="G13" s="20" t="s">
        <v>15</v>
      </c>
      <c r="H13" s="24">
        <v>294565</v>
      </c>
      <c r="J13" s="20" t="s">
        <v>1361</v>
      </c>
      <c r="K13">
        <v>473</v>
      </c>
      <c r="M13" s="20" t="s">
        <v>1369</v>
      </c>
      <c r="N13" s="24">
        <v>180932</v>
      </c>
      <c r="O13" s="25">
        <v>-1765</v>
      </c>
      <c r="P13" s="26">
        <v>-9.6608045014422786E-3</v>
      </c>
    </row>
    <row r="14" spans="1:16" x14ac:dyDescent="0.3">
      <c r="A14" s="20" t="s">
        <v>38</v>
      </c>
      <c r="B14">
        <v>349</v>
      </c>
      <c r="D14" s="20" t="s">
        <v>68</v>
      </c>
      <c r="E14" s="24">
        <v>180838</v>
      </c>
      <c r="G14" s="20" t="s">
        <v>1348</v>
      </c>
      <c r="H14" s="24">
        <v>1870223</v>
      </c>
      <c r="J14" s="20" t="s">
        <v>1359</v>
      </c>
      <c r="K14">
        <v>391</v>
      </c>
      <c r="M14" s="20" t="s">
        <v>1360</v>
      </c>
      <c r="N14" s="24">
        <v>158675</v>
      </c>
      <c r="O14" s="25">
        <v>-22257</v>
      </c>
      <c r="P14" s="26">
        <v>-0.12301306568213473</v>
      </c>
    </row>
    <row r="15" spans="1:16" x14ac:dyDescent="0.3">
      <c r="A15" s="20" t="s">
        <v>65</v>
      </c>
      <c r="B15">
        <v>326</v>
      </c>
      <c r="D15" s="20" t="s">
        <v>65</v>
      </c>
      <c r="E15" s="24">
        <v>176476</v>
      </c>
      <c r="J15" s="20" t="s">
        <v>1348</v>
      </c>
      <c r="K15">
        <v>3497</v>
      </c>
      <c r="M15" s="20" t="s">
        <v>1362</v>
      </c>
      <c r="N15" s="24">
        <v>131156</v>
      </c>
      <c r="O15" s="25">
        <v>-27519</v>
      </c>
      <c r="P15" s="26">
        <v>-0.17342996691350243</v>
      </c>
    </row>
    <row r="16" spans="1:16" x14ac:dyDescent="0.3">
      <c r="A16" s="20" t="s">
        <v>24</v>
      </c>
      <c r="B16">
        <v>310</v>
      </c>
      <c r="D16" s="20" t="s">
        <v>24</v>
      </c>
      <c r="E16" s="24">
        <v>159079</v>
      </c>
      <c r="M16" s="20" t="s">
        <v>1364</v>
      </c>
      <c r="N16" s="24">
        <v>157979</v>
      </c>
      <c r="O16" s="25">
        <v>26823</v>
      </c>
      <c r="P16" s="26">
        <v>0.20451218396413431</v>
      </c>
    </row>
    <row r="17" spans="1:16" x14ac:dyDescent="0.3">
      <c r="A17" s="20" t="s">
        <v>79</v>
      </c>
      <c r="B17">
        <v>278</v>
      </c>
      <c r="D17" s="20" t="s">
        <v>79</v>
      </c>
      <c r="E17" s="24">
        <v>152431</v>
      </c>
      <c r="M17" s="20" t="s">
        <v>1365</v>
      </c>
      <c r="N17" s="24">
        <v>142798</v>
      </c>
      <c r="O17" s="25">
        <v>-15181</v>
      </c>
      <c r="P17" s="26">
        <v>-9.60950506079922E-2</v>
      </c>
    </row>
    <row r="18" spans="1:16" x14ac:dyDescent="0.3">
      <c r="A18" s="20" t="s">
        <v>1348</v>
      </c>
      <c r="B18">
        <v>3497</v>
      </c>
      <c r="D18" s="20" t="s">
        <v>1348</v>
      </c>
      <c r="E18" s="24">
        <v>1870223</v>
      </c>
      <c r="M18" s="20" t="s">
        <v>1357</v>
      </c>
      <c r="N18" s="24">
        <v>159742</v>
      </c>
      <c r="O18" s="25">
        <v>16944</v>
      </c>
      <c r="P18" s="26">
        <v>0.11865712404935644</v>
      </c>
    </row>
    <row r="19" spans="1:16" x14ac:dyDescent="0.3">
      <c r="M19" s="20" t="s">
        <v>1370</v>
      </c>
      <c r="N19" s="24">
        <v>158685</v>
      </c>
      <c r="O19" s="25">
        <v>-1057</v>
      </c>
      <c r="P19" s="26">
        <v>-6.6169197831503299E-3</v>
      </c>
    </row>
    <row r="20" spans="1:16" x14ac:dyDescent="0.3">
      <c r="A20" s="19" t="s">
        <v>1375</v>
      </c>
      <c r="B20" t="s">
        <v>1377</v>
      </c>
      <c r="D20" s="19" t="s">
        <v>1344</v>
      </c>
      <c r="E20" s="19" t="s">
        <v>1371</v>
      </c>
      <c r="M20" s="20" t="s">
        <v>1348</v>
      </c>
      <c r="N20" s="24">
        <v>1870223</v>
      </c>
      <c r="O20" s="25"/>
      <c r="P20" s="26"/>
    </row>
    <row r="21" spans="1:16" x14ac:dyDescent="0.3">
      <c r="A21" s="20" t="s">
        <v>1368</v>
      </c>
      <c r="B21" s="24">
        <v>182697</v>
      </c>
      <c r="D21" s="19" t="s">
        <v>1374</v>
      </c>
      <c r="E21" t="s">
        <v>33</v>
      </c>
      <c r="F21" t="s">
        <v>11</v>
      </c>
      <c r="G21" t="s">
        <v>19</v>
      </c>
      <c r="H21" t="s">
        <v>7</v>
      </c>
      <c r="I21" t="s">
        <v>15</v>
      </c>
      <c r="J21" t="s">
        <v>27</v>
      </c>
      <c r="K21" t="s">
        <v>1348</v>
      </c>
    </row>
    <row r="22" spans="1:16" x14ac:dyDescent="0.3">
      <c r="A22" s="20" t="s">
        <v>1369</v>
      </c>
      <c r="B22" s="24">
        <v>180932</v>
      </c>
      <c r="D22" s="20" t="s">
        <v>14</v>
      </c>
      <c r="E22" s="24">
        <v>59809</v>
      </c>
      <c r="F22" s="24">
        <v>35809</v>
      </c>
      <c r="G22" s="24">
        <v>29895</v>
      </c>
      <c r="H22" s="24">
        <v>28741</v>
      </c>
      <c r="I22" s="24">
        <v>27291</v>
      </c>
      <c r="J22" s="24">
        <v>30225</v>
      </c>
      <c r="K22" s="24">
        <v>211770</v>
      </c>
    </row>
    <row r="23" spans="1:16" x14ac:dyDescent="0.3">
      <c r="A23" s="20" t="s">
        <v>1354</v>
      </c>
      <c r="B23" s="24">
        <v>173446</v>
      </c>
      <c r="D23" s="20" t="s">
        <v>6</v>
      </c>
      <c r="E23" s="24">
        <v>21641</v>
      </c>
      <c r="F23" s="24">
        <v>41365</v>
      </c>
      <c r="G23" s="24">
        <v>37884</v>
      </c>
      <c r="H23" s="24">
        <v>41578</v>
      </c>
      <c r="I23" s="24">
        <v>36753</v>
      </c>
      <c r="J23" s="24">
        <v>30201</v>
      </c>
      <c r="K23" s="24">
        <v>209422</v>
      </c>
    </row>
    <row r="24" spans="1:16" x14ac:dyDescent="0.3">
      <c r="A24" s="20" t="s">
        <v>1357</v>
      </c>
      <c r="B24" s="24">
        <v>159742</v>
      </c>
      <c r="D24" s="20" t="s">
        <v>30</v>
      </c>
      <c r="E24" s="24">
        <v>47913</v>
      </c>
      <c r="F24" s="24">
        <v>35433</v>
      </c>
      <c r="G24" s="24">
        <v>42212</v>
      </c>
      <c r="H24" s="24">
        <v>33353</v>
      </c>
      <c r="I24" s="24">
        <v>24616</v>
      </c>
      <c r="J24" s="24">
        <v>24940</v>
      </c>
      <c r="K24" s="24">
        <v>208467</v>
      </c>
    </row>
    <row r="25" spans="1:16" x14ac:dyDescent="0.3">
      <c r="A25" s="20" t="s">
        <v>1370</v>
      </c>
      <c r="B25" s="24">
        <v>158685</v>
      </c>
      <c r="D25" s="20" t="s">
        <v>10</v>
      </c>
      <c r="E25" s="24">
        <v>43978</v>
      </c>
      <c r="F25" s="24">
        <v>41586</v>
      </c>
      <c r="G25" s="24">
        <v>28191</v>
      </c>
      <c r="H25" s="24">
        <v>39786</v>
      </c>
      <c r="I25" s="24">
        <v>29273</v>
      </c>
      <c r="J25" s="24">
        <v>19699</v>
      </c>
      <c r="K25" s="24">
        <v>202513</v>
      </c>
    </row>
    <row r="26" spans="1:16" x14ac:dyDescent="0.3">
      <c r="A26" s="20" t="s">
        <v>1360</v>
      </c>
      <c r="B26" s="24">
        <v>158675</v>
      </c>
      <c r="D26" s="20" t="s">
        <v>18</v>
      </c>
      <c r="E26" s="24">
        <v>27381</v>
      </c>
      <c r="F26" s="24">
        <v>39942</v>
      </c>
      <c r="G26" s="24">
        <v>44474</v>
      </c>
      <c r="H26" s="24">
        <v>19804</v>
      </c>
      <c r="I26" s="24">
        <v>26971</v>
      </c>
      <c r="J26" s="24">
        <v>29599</v>
      </c>
      <c r="K26" s="24">
        <v>188171</v>
      </c>
    </row>
    <row r="27" spans="1:16" x14ac:dyDescent="0.3">
      <c r="A27" s="20" t="s">
        <v>1364</v>
      </c>
      <c r="B27" s="24">
        <v>157979</v>
      </c>
      <c r="D27" s="20" t="s">
        <v>38</v>
      </c>
      <c r="E27" s="24">
        <v>33651</v>
      </c>
      <c r="F27" s="24">
        <v>39142</v>
      </c>
      <c r="G27" s="24">
        <v>23550</v>
      </c>
      <c r="H27" s="24">
        <v>18576</v>
      </c>
      <c r="I27" s="24">
        <v>30609</v>
      </c>
      <c r="J27" s="24">
        <v>35528</v>
      </c>
      <c r="K27" s="24">
        <v>181056</v>
      </c>
    </row>
    <row r="28" spans="1:16" x14ac:dyDescent="0.3">
      <c r="A28" s="20" t="s">
        <v>1352</v>
      </c>
      <c r="B28" s="24">
        <v>156213</v>
      </c>
      <c r="D28" s="20" t="s">
        <v>68</v>
      </c>
      <c r="E28" s="24">
        <v>13566</v>
      </c>
      <c r="F28" s="24">
        <v>30213</v>
      </c>
      <c r="G28" s="24">
        <v>45134</v>
      </c>
      <c r="H28" s="24">
        <v>21247</v>
      </c>
      <c r="I28" s="24">
        <v>27503</v>
      </c>
      <c r="J28" s="24">
        <v>43175</v>
      </c>
      <c r="K28" s="24">
        <v>180838</v>
      </c>
    </row>
    <row r="29" spans="1:16" x14ac:dyDescent="0.3">
      <c r="A29" s="20" t="s">
        <v>1365</v>
      </c>
      <c r="B29" s="24">
        <v>142798</v>
      </c>
      <c r="D29" s="20" t="s">
        <v>65</v>
      </c>
      <c r="E29" s="24">
        <v>23835</v>
      </c>
      <c r="F29" s="24">
        <v>30347</v>
      </c>
      <c r="G29" s="24">
        <v>18735</v>
      </c>
      <c r="H29" s="24">
        <v>44881</v>
      </c>
      <c r="I29" s="24">
        <v>38056</v>
      </c>
      <c r="J29" s="24">
        <v>20622</v>
      </c>
      <c r="K29" s="24">
        <v>176476</v>
      </c>
    </row>
    <row r="30" spans="1:16" x14ac:dyDescent="0.3">
      <c r="A30" s="20" t="s">
        <v>1367</v>
      </c>
      <c r="B30" s="24">
        <v>138906</v>
      </c>
      <c r="D30" s="20" t="s">
        <v>24</v>
      </c>
      <c r="E30" s="24">
        <v>27908</v>
      </c>
      <c r="F30" s="24">
        <v>16442</v>
      </c>
      <c r="G30" s="24">
        <v>28958</v>
      </c>
      <c r="H30" s="24">
        <v>23750</v>
      </c>
      <c r="I30" s="24">
        <v>27827</v>
      </c>
      <c r="J30" s="24">
        <v>34194</v>
      </c>
      <c r="K30" s="24">
        <v>159079</v>
      </c>
    </row>
    <row r="31" spans="1:16" x14ac:dyDescent="0.3">
      <c r="A31" s="20" t="s">
        <v>1362</v>
      </c>
      <c r="B31" s="24">
        <v>131156</v>
      </c>
      <c r="D31" s="20" t="s">
        <v>79</v>
      </c>
      <c r="E31" s="24">
        <v>22324</v>
      </c>
      <c r="F31" s="24">
        <v>22577</v>
      </c>
      <c r="G31" s="24">
        <v>23529</v>
      </c>
      <c r="H31" s="24">
        <v>30543</v>
      </c>
      <c r="I31" s="24">
        <v>25666</v>
      </c>
      <c r="J31" s="24">
        <v>27792</v>
      </c>
      <c r="K31" s="24">
        <v>152431</v>
      </c>
    </row>
    <row r="32" spans="1:16" x14ac:dyDescent="0.3">
      <c r="A32" s="20" t="s">
        <v>1355</v>
      </c>
      <c r="B32" s="24">
        <v>128994</v>
      </c>
      <c r="D32" s="20" t="s">
        <v>1348</v>
      </c>
      <c r="E32" s="24">
        <v>322006</v>
      </c>
      <c r="F32" s="24">
        <v>332856</v>
      </c>
      <c r="G32" s="24">
        <v>322562</v>
      </c>
      <c r="H32" s="24">
        <v>302259</v>
      </c>
      <c r="I32" s="24">
        <v>294565</v>
      </c>
      <c r="J32" s="24">
        <v>295975</v>
      </c>
      <c r="K32" s="24">
        <v>1870223</v>
      </c>
    </row>
    <row r="33" spans="1:2" x14ac:dyDescent="0.3">
      <c r="A33" s="20" t="s">
        <v>1348</v>
      </c>
      <c r="B33" s="24">
        <v>1870223</v>
      </c>
    </row>
  </sheetData>
  <conditionalFormatting pivot="1" sqref="E22:J31">
    <cfRule type="top10" dxfId="57" priority="13" rank="1"/>
  </conditionalFormatting>
  <conditionalFormatting pivot="1" sqref="B8">
    <cfRule type="iconSet" priority="7">
      <iconSet iconSet="3Arrows">
        <cfvo type="percent" val="0"/>
        <cfvo type="percent" val="33"/>
        <cfvo type="percent" val="67"/>
      </iconSet>
    </cfRule>
  </conditionalFormatting>
  <conditionalFormatting pivot="1" sqref="E8">
    <cfRule type="iconSet" priority="6">
      <iconSet iconSet="3Arrows">
        <cfvo type="percent" val="0"/>
        <cfvo type="percent" val="33"/>
        <cfvo type="percent" val="67"/>
      </iconSet>
    </cfRule>
  </conditionalFormatting>
  <conditionalFormatting pivot="1" sqref="H8">
    <cfRule type="iconSet" priority="5">
      <iconSet iconSet="3Arrows">
        <cfvo type="percent" val="0"/>
        <cfvo type="percent" val="33"/>
        <cfvo type="percent" val="67"/>
      </iconSet>
    </cfRule>
  </conditionalFormatting>
  <conditionalFormatting pivot="1" sqref="K8">
    <cfRule type="iconSet" priority="4">
      <iconSet iconSet="3Arrows">
        <cfvo type="percent" val="0"/>
        <cfvo type="percent" val="33"/>
        <cfvo type="percent" val="67"/>
      </iconSet>
    </cfRule>
  </conditionalFormatting>
  <conditionalFormatting pivot="1" sqref="B21">
    <cfRule type="iconSet" priority="3">
      <iconSet iconSet="3Arrows">
        <cfvo type="percent" val="0"/>
        <cfvo type="percent" val="33"/>
        <cfvo type="percent" val="67"/>
      </iconSet>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86EBE-B195-4F23-ABE4-932FEF22E6BF}">
  <dimension ref="A3:B25"/>
  <sheetViews>
    <sheetView workbookViewId="0">
      <selection activeCell="N15" sqref="N15"/>
    </sheetView>
  </sheetViews>
  <sheetFormatPr defaultRowHeight="14.4" x14ac:dyDescent="0.3"/>
  <cols>
    <col min="1" max="1" width="12.44140625" customWidth="1"/>
    <col min="2" max="2" width="18.6640625" customWidth="1"/>
  </cols>
  <sheetData>
    <row r="3" spans="1:2" x14ac:dyDescent="0.3">
      <c r="A3" s="19" t="s">
        <v>1347</v>
      </c>
      <c r="B3" t="s">
        <v>1344</v>
      </c>
    </row>
    <row r="4" spans="1:2" x14ac:dyDescent="0.3">
      <c r="A4" s="20" t="s">
        <v>1367</v>
      </c>
      <c r="B4" s="28">
        <v>138906</v>
      </c>
    </row>
    <row r="5" spans="1:2" x14ac:dyDescent="0.3">
      <c r="A5" s="20" t="s">
        <v>1352</v>
      </c>
      <c r="B5" s="28">
        <v>156213</v>
      </c>
    </row>
    <row r="6" spans="1:2" x14ac:dyDescent="0.3">
      <c r="A6" s="20" t="s">
        <v>1354</v>
      </c>
      <c r="B6" s="28">
        <v>173446</v>
      </c>
    </row>
    <row r="7" spans="1:2" x14ac:dyDescent="0.3">
      <c r="A7" s="20" t="s">
        <v>1355</v>
      </c>
      <c r="B7" s="28">
        <v>128994</v>
      </c>
    </row>
    <row r="8" spans="1:2" x14ac:dyDescent="0.3">
      <c r="A8" s="20" t="s">
        <v>1368</v>
      </c>
      <c r="B8" s="28">
        <v>182697</v>
      </c>
    </row>
    <row r="9" spans="1:2" x14ac:dyDescent="0.3">
      <c r="A9" s="20" t="s">
        <v>1369</v>
      </c>
      <c r="B9" s="28">
        <v>180932</v>
      </c>
    </row>
    <row r="10" spans="1:2" x14ac:dyDescent="0.3">
      <c r="A10" s="20" t="s">
        <v>1360</v>
      </c>
      <c r="B10" s="28">
        <v>158675</v>
      </c>
    </row>
    <row r="11" spans="1:2" x14ac:dyDescent="0.3">
      <c r="A11" s="20" t="s">
        <v>1362</v>
      </c>
      <c r="B11" s="28">
        <v>131156</v>
      </c>
    </row>
    <row r="12" spans="1:2" x14ac:dyDescent="0.3">
      <c r="A12" s="20" t="s">
        <v>1364</v>
      </c>
      <c r="B12" s="28">
        <v>157979</v>
      </c>
    </row>
    <row r="13" spans="1:2" x14ac:dyDescent="0.3">
      <c r="A13" s="20" t="s">
        <v>1365</v>
      </c>
      <c r="B13" s="28">
        <v>142798</v>
      </c>
    </row>
    <row r="14" spans="1:2" x14ac:dyDescent="0.3">
      <c r="A14" s="20" t="s">
        <v>1357</v>
      </c>
      <c r="B14" s="28">
        <v>159742</v>
      </c>
    </row>
    <row r="15" spans="1:2" x14ac:dyDescent="0.3">
      <c r="A15" s="20" t="s">
        <v>1370</v>
      </c>
      <c r="B15" s="28">
        <v>158685</v>
      </c>
    </row>
    <row r="16" spans="1:2" x14ac:dyDescent="0.3">
      <c r="A16" s="20" t="s">
        <v>1348</v>
      </c>
      <c r="B16">
        <v>1870223</v>
      </c>
    </row>
    <row r="18" spans="1:2" x14ac:dyDescent="0.3">
      <c r="A18" s="19" t="s">
        <v>1347</v>
      </c>
      <c r="B18" t="s">
        <v>1344</v>
      </c>
    </row>
    <row r="19" spans="1:2" x14ac:dyDescent="0.3">
      <c r="A19" s="20" t="s">
        <v>33</v>
      </c>
      <c r="B19" s="28">
        <v>322006</v>
      </c>
    </row>
    <row r="20" spans="1:2" x14ac:dyDescent="0.3">
      <c r="A20" s="20" t="s">
        <v>11</v>
      </c>
      <c r="B20" s="28">
        <v>332856</v>
      </c>
    </row>
    <row r="21" spans="1:2" x14ac:dyDescent="0.3">
      <c r="A21" s="20" t="s">
        <v>19</v>
      </c>
      <c r="B21" s="28">
        <v>322562</v>
      </c>
    </row>
    <row r="22" spans="1:2" x14ac:dyDescent="0.3">
      <c r="A22" s="20" t="s">
        <v>7</v>
      </c>
      <c r="B22" s="28">
        <v>302259</v>
      </c>
    </row>
    <row r="23" spans="1:2" x14ac:dyDescent="0.3">
      <c r="A23" s="20" t="s">
        <v>15</v>
      </c>
      <c r="B23" s="28">
        <v>294565</v>
      </c>
    </row>
    <row r="24" spans="1:2" x14ac:dyDescent="0.3">
      <c r="A24" s="20" t="s">
        <v>27</v>
      </c>
      <c r="B24" s="28">
        <v>295975</v>
      </c>
    </row>
    <row r="25" spans="1:2" x14ac:dyDescent="0.3">
      <c r="A25" s="20" t="s">
        <v>1348</v>
      </c>
      <c r="B25">
        <v>1870223</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809EF-533D-4D22-9493-B00EF876A59A}">
  <dimension ref="A3:M27"/>
  <sheetViews>
    <sheetView workbookViewId="0">
      <selection activeCell="L16" sqref="L16"/>
    </sheetView>
  </sheetViews>
  <sheetFormatPr defaultRowHeight="14.4" x14ac:dyDescent="0.3"/>
  <cols>
    <col min="1" max="1" width="12.44140625" customWidth="1"/>
    <col min="2" max="2" width="18.44140625" bestFit="1" customWidth="1"/>
    <col min="12" max="12" width="12.44140625" bestFit="1" customWidth="1"/>
    <col min="13" max="13" width="18.6640625" bestFit="1" customWidth="1"/>
  </cols>
  <sheetData>
    <row r="3" spans="1:13" x14ac:dyDescent="0.3">
      <c r="A3" s="19" t="s">
        <v>1347</v>
      </c>
      <c r="B3" t="s">
        <v>1344</v>
      </c>
    </row>
    <row r="4" spans="1:13" x14ac:dyDescent="0.3">
      <c r="A4" s="20" t="s">
        <v>14</v>
      </c>
      <c r="B4">
        <v>211770</v>
      </c>
      <c r="L4" s="19" t="s">
        <v>1347</v>
      </c>
      <c r="M4" t="s">
        <v>1344</v>
      </c>
    </row>
    <row r="5" spans="1:13" x14ac:dyDescent="0.3">
      <c r="A5" s="20" t="s">
        <v>6</v>
      </c>
      <c r="B5">
        <v>209422</v>
      </c>
      <c r="L5" s="20" t="s">
        <v>1367</v>
      </c>
      <c r="M5">
        <v>138906</v>
      </c>
    </row>
    <row r="6" spans="1:13" x14ac:dyDescent="0.3">
      <c r="A6" s="20" t="s">
        <v>30</v>
      </c>
      <c r="B6">
        <v>208467</v>
      </c>
      <c r="L6" s="20" t="s">
        <v>1352</v>
      </c>
      <c r="M6">
        <v>156213</v>
      </c>
    </row>
    <row r="7" spans="1:13" x14ac:dyDescent="0.3">
      <c r="A7" s="20" t="s">
        <v>10</v>
      </c>
      <c r="B7">
        <v>202513</v>
      </c>
      <c r="L7" s="20" t="s">
        <v>1354</v>
      </c>
      <c r="M7">
        <v>173446</v>
      </c>
    </row>
    <row r="8" spans="1:13" x14ac:dyDescent="0.3">
      <c r="A8" s="20" t="s">
        <v>18</v>
      </c>
      <c r="B8">
        <v>188171</v>
      </c>
      <c r="L8" s="20" t="s">
        <v>1355</v>
      </c>
      <c r="M8">
        <v>128994</v>
      </c>
    </row>
    <row r="9" spans="1:13" x14ac:dyDescent="0.3">
      <c r="A9" s="20" t="s">
        <v>38</v>
      </c>
      <c r="B9">
        <v>181056</v>
      </c>
      <c r="L9" s="20" t="s">
        <v>1368</v>
      </c>
      <c r="M9">
        <v>182697</v>
      </c>
    </row>
    <row r="10" spans="1:13" x14ac:dyDescent="0.3">
      <c r="A10" s="20" t="s">
        <v>68</v>
      </c>
      <c r="B10">
        <v>180838</v>
      </c>
      <c r="L10" s="20" t="s">
        <v>1369</v>
      </c>
      <c r="M10">
        <v>180932</v>
      </c>
    </row>
    <row r="11" spans="1:13" x14ac:dyDescent="0.3">
      <c r="A11" s="20" t="s">
        <v>65</v>
      </c>
      <c r="B11">
        <v>176476</v>
      </c>
      <c r="L11" s="20" t="s">
        <v>1360</v>
      </c>
      <c r="M11">
        <v>158675</v>
      </c>
    </row>
    <row r="12" spans="1:13" x14ac:dyDescent="0.3">
      <c r="A12" s="20" t="s">
        <v>24</v>
      </c>
      <c r="B12">
        <v>159079</v>
      </c>
      <c r="L12" s="20" t="s">
        <v>1362</v>
      </c>
      <c r="M12">
        <v>131156</v>
      </c>
    </row>
    <row r="13" spans="1:13" x14ac:dyDescent="0.3">
      <c r="A13" s="20" t="s">
        <v>79</v>
      </c>
      <c r="B13">
        <v>152431</v>
      </c>
      <c r="L13" s="20" t="s">
        <v>1364</v>
      </c>
      <c r="M13">
        <v>157979</v>
      </c>
    </row>
    <row r="14" spans="1:13" x14ac:dyDescent="0.3">
      <c r="A14" s="20" t="s">
        <v>1348</v>
      </c>
      <c r="B14">
        <v>1870223</v>
      </c>
      <c r="L14" s="20" t="s">
        <v>1365</v>
      </c>
      <c r="M14">
        <v>142798</v>
      </c>
    </row>
    <row r="15" spans="1:13" x14ac:dyDescent="0.3">
      <c r="L15" s="20" t="s">
        <v>1357</v>
      </c>
      <c r="M15">
        <v>159742</v>
      </c>
    </row>
    <row r="16" spans="1:13" x14ac:dyDescent="0.3">
      <c r="L16" s="20" t="s">
        <v>1370</v>
      </c>
      <c r="M16">
        <v>158685</v>
      </c>
    </row>
    <row r="17" spans="1:13" x14ac:dyDescent="0.3">
      <c r="L17" s="20" t="s">
        <v>1348</v>
      </c>
      <c r="M17">
        <v>1870223</v>
      </c>
    </row>
    <row r="19" spans="1:13" x14ac:dyDescent="0.3">
      <c r="A19" s="19" t="s">
        <v>1347</v>
      </c>
      <c r="B19" t="s">
        <v>1380</v>
      </c>
    </row>
    <row r="20" spans="1:13" x14ac:dyDescent="0.3">
      <c r="A20" s="20" t="s">
        <v>1363</v>
      </c>
      <c r="B20">
        <v>535</v>
      </c>
      <c r="L20" t="e">
        <f>GETPIVOTDATA("Sum of Total Revenue",$A$3,"Month","March")</f>
        <v>#REF!</v>
      </c>
    </row>
    <row r="21" spans="1:13" x14ac:dyDescent="0.3">
      <c r="A21" s="20" t="s">
        <v>1353</v>
      </c>
      <c r="B21">
        <v>587</v>
      </c>
    </row>
    <row r="22" spans="1:13" x14ac:dyDescent="0.3">
      <c r="A22" s="20" t="s">
        <v>1358</v>
      </c>
      <c r="B22">
        <v>475</v>
      </c>
    </row>
    <row r="23" spans="1:13" x14ac:dyDescent="0.3">
      <c r="A23" s="20" t="s">
        <v>1356</v>
      </c>
      <c r="B23">
        <v>504</v>
      </c>
    </row>
    <row r="24" spans="1:13" x14ac:dyDescent="0.3">
      <c r="A24" s="20" t="s">
        <v>1366</v>
      </c>
      <c r="B24">
        <v>532</v>
      </c>
    </row>
    <row r="25" spans="1:13" x14ac:dyDescent="0.3">
      <c r="A25" s="20" t="s">
        <v>1359</v>
      </c>
      <c r="B25">
        <v>391</v>
      </c>
    </row>
    <row r="26" spans="1:13" x14ac:dyDescent="0.3">
      <c r="A26" s="20" t="s">
        <v>1361</v>
      </c>
      <c r="B26">
        <v>473</v>
      </c>
    </row>
    <row r="27" spans="1:13" x14ac:dyDescent="0.3">
      <c r="A27" s="20" t="s">
        <v>1348</v>
      </c>
      <c r="B27">
        <v>3497</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39103-3D0F-4659-8A58-DDF90DFE8E87}">
  <dimension ref="A2:V31"/>
  <sheetViews>
    <sheetView showGridLines="0" zoomScale="83" zoomScaleNormal="83" workbookViewId="0">
      <selection activeCell="H5" sqref="H5"/>
    </sheetView>
  </sheetViews>
  <sheetFormatPr defaultRowHeight="14.4" x14ac:dyDescent="0.3"/>
  <cols>
    <col min="1" max="1" width="19.5546875" bestFit="1" customWidth="1"/>
    <col min="2" max="2" width="16.33203125" bestFit="1" customWidth="1"/>
    <col min="3" max="7" width="11.109375" bestFit="1" customWidth="1"/>
    <col min="8" max="8" width="12.6640625" bestFit="1" customWidth="1"/>
    <col min="10" max="10" width="12.44140625" customWidth="1"/>
    <col min="11" max="11" width="11.21875" customWidth="1"/>
    <col min="12" max="12" width="11" customWidth="1"/>
    <col min="13" max="13" width="11.6640625" customWidth="1"/>
    <col min="14" max="14" width="11.21875" customWidth="1"/>
    <col min="15" max="15" width="11" customWidth="1"/>
    <col min="16" max="16" width="11.44140625" customWidth="1"/>
  </cols>
  <sheetData>
    <row r="2" spans="1:22" x14ac:dyDescent="0.3">
      <c r="A2" s="19" t="s">
        <v>1344</v>
      </c>
      <c r="B2" s="19" t="s">
        <v>1371</v>
      </c>
      <c r="J2" s="24"/>
      <c r="K2" s="24"/>
      <c r="L2" s="24"/>
      <c r="M2" s="24"/>
      <c r="N2" s="24"/>
      <c r="O2" s="24"/>
    </row>
    <row r="3" spans="1:22" x14ac:dyDescent="0.3">
      <c r="A3" s="19" t="s">
        <v>1374</v>
      </c>
      <c r="B3" t="s">
        <v>33</v>
      </c>
      <c r="C3" t="s">
        <v>11</v>
      </c>
      <c r="D3" t="s">
        <v>19</v>
      </c>
      <c r="E3" t="s">
        <v>7</v>
      </c>
      <c r="F3" t="s">
        <v>15</v>
      </c>
      <c r="G3" t="s">
        <v>27</v>
      </c>
      <c r="H3" t="s">
        <v>1348</v>
      </c>
      <c r="K3" t="str">
        <f>B3</f>
        <v>Online</v>
      </c>
      <c r="L3" t="str">
        <f t="shared" ref="L3:P4" si="0">C3</f>
        <v>Store A</v>
      </c>
      <c r="M3" t="str">
        <f t="shared" si="0"/>
        <v>Store B</v>
      </c>
      <c r="N3" t="str">
        <f t="shared" si="0"/>
        <v>Store C</v>
      </c>
      <c r="O3" t="str">
        <f t="shared" si="0"/>
        <v>Store D</v>
      </c>
      <c r="P3" t="str">
        <f t="shared" si="0"/>
        <v>Store E</v>
      </c>
    </row>
    <row r="4" spans="1:22" x14ac:dyDescent="0.3">
      <c r="A4" s="20" t="s">
        <v>14</v>
      </c>
      <c r="B4" s="24">
        <v>59809</v>
      </c>
      <c r="C4" s="24">
        <v>35809</v>
      </c>
      <c r="D4" s="24">
        <v>29895</v>
      </c>
      <c r="E4" s="24">
        <v>28741</v>
      </c>
      <c r="F4" s="24">
        <v>27291</v>
      </c>
      <c r="G4" s="24">
        <v>30225</v>
      </c>
      <c r="H4" s="24">
        <v>211770</v>
      </c>
      <c r="J4" t="str">
        <f>A4</f>
        <v>Tablet</v>
      </c>
      <c r="K4" s="24">
        <f>B4</f>
        <v>59809</v>
      </c>
      <c r="L4" s="24">
        <f t="shared" si="0"/>
        <v>35809</v>
      </c>
      <c r="M4" s="24">
        <f t="shared" si="0"/>
        <v>29895</v>
      </c>
      <c r="N4" s="24">
        <f t="shared" si="0"/>
        <v>28741</v>
      </c>
      <c r="O4" s="24">
        <f t="shared" si="0"/>
        <v>27291</v>
      </c>
      <c r="P4" s="24">
        <f t="shared" si="0"/>
        <v>30225</v>
      </c>
    </row>
    <row r="5" spans="1:22" x14ac:dyDescent="0.3">
      <c r="A5" s="20" t="s">
        <v>6</v>
      </c>
      <c r="B5" s="24">
        <v>21641</v>
      </c>
      <c r="C5" s="24">
        <v>41365</v>
      </c>
      <c r="D5" s="24">
        <v>37884</v>
      </c>
      <c r="E5" s="24">
        <v>41578</v>
      </c>
      <c r="F5" s="24">
        <v>36753</v>
      </c>
      <c r="G5" s="24">
        <v>30201</v>
      </c>
      <c r="H5" s="24">
        <v>209422</v>
      </c>
      <c r="J5" t="str">
        <f t="shared" ref="J5:J13" si="1">A5</f>
        <v>Phone</v>
      </c>
      <c r="K5" s="24">
        <f t="shared" ref="K5:K13" si="2">B5</f>
        <v>21641</v>
      </c>
      <c r="L5" s="24">
        <f t="shared" ref="L5:L13" si="3">C5</f>
        <v>41365</v>
      </c>
      <c r="M5" s="24">
        <f t="shared" ref="M5:M13" si="4">D5</f>
        <v>37884</v>
      </c>
      <c r="N5" s="24">
        <f t="shared" ref="N5:N13" si="5">E5</f>
        <v>41578</v>
      </c>
      <c r="O5" s="24">
        <f t="shared" ref="O5:O13" si="6">F5</f>
        <v>36753</v>
      </c>
      <c r="P5" s="24">
        <f t="shared" ref="P5:P13" si="7">G5</f>
        <v>30201</v>
      </c>
    </row>
    <row r="6" spans="1:22" x14ac:dyDescent="0.3">
      <c r="A6" s="20" t="s">
        <v>30</v>
      </c>
      <c r="B6" s="24">
        <v>47913</v>
      </c>
      <c r="C6" s="24">
        <v>35433</v>
      </c>
      <c r="D6" s="24">
        <v>42212</v>
      </c>
      <c r="E6" s="24">
        <v>33353</v>
      </c>
      <c r="F6" s="24">
        <v>24616</v>
      </c>
      <c r="G6" s="24">
        <v>24940</v>
      </c>
      <c r="H6" s="24">
        <v>208467</v>
      </c>
      <c r="J6" t="str">
        <f t="shared" si="1"/>
        <v>Monitor</v>
      </c>
      <c r="K6" s="24">
        <f t="shared" si="2"/>
        <v>47913</v>
      </c>
      <c r="L6" s="24">
        <f t="shared" si="3"/>
        <v>35433</v>
      </c>
      <c r="M6" s="24">
        <f t="shared" si="4"/>
        <v>42212</v>
      </c>
      <c r="N6" s="24">
        <f t="shared" si="5"/>
        <v>33353</v>
      </c>
      <c r="O6" s="24">
        <f t="shared" si="6"/>
        <v>24616</v>
      </c>
      <c r="P6" s="24">
        <f t="shared" si="7"/>
        <v>24940</v>
      </c>
    </row>
    <row r="7" spans="1:22" x14ac:dyDescent="0.3">
      <c r="A7" s="20" t="s">
        <v>10</v>
      </c>
      <c r="B7" s="24">
        <v>43978</v>
      </c>
      <c r="C7" s="24">
        <v>41586</v>
      </c>
      <c r="D7" s="24">
        <v>28191</v>
      </c>
      <c r="E7" s="24">
        <v>39786</v>
      </c>
      <c r="F7" s="24">
        <v>29273</v>
      </c>
      <c r="G7" s="24">
        <v>19699</v>
      </c>
      <c r="H7" s="24">
        <v>202513</v>
      </c>
      <c r="J7" t="str">
        <f t="shared" si="1"/>
        <v>Laptop</v>
      </c>
      <c r="K7" s="24">
        <f t="shared" si="2"/>
        <v>43978</v>
      </c>
      <c r="L7" s="24">
        <f t="shared" si="3"/>
        <v>41586</v>
      </c>
      <c r="M7" s="24">
        <f t="shared" si="4"/>
        <v>28191</v>
      </c>
      <c r="N7" s="24">
        <f t="shared" si="5"/>
        <v>39786</v>
      </c>
      <c r="O7" s="24">
        <f t="shared" si="6"/>
        <v>29273</v>
      </c>
      <c r="P7" s="24">
        <f t="shared" si="7"/>
        <v>19699</v>
      </c>
    </row>
    <row r="8" spans="1:22" x14ac:dyDescent="0.3">
      <c r="A8" s="20" t="s">
        <v>18</v>
      </c>
      <c r="B8" s="24">
        <v>27381</v>
      </c>
      <c r="C8" s="24">
        <v>39942</v>
      </c>
      <c r="D8" s="24">
        <v>44474</v>
      </c>
      <c r="E8" s="24">
        <v>19804</v>
      </c>
      <c r="F8" s="24">
        <v>26971</v>
      </c>
      <c r="G8" s="24">
        <v>29599</v>
      </c>
      <c r="H8" s="24">
        <v>188171</v>
      </c>
      <c r="J8" t="str">
        <f t="shared" si="1"/>
        <v>Smartwatch</v>
      </c>
      <c r="K8" s="24">
        <f t="shared" si="2"/>
        <v>27381</v>
      </c>
      <c r="L8" s="24">
        <f t="shared" si="3"/>
        <v>39942</v>
      </c>
      <c r="M8" s="24">
        <f t="shared" si="4"/>
        <v>44474</v>
      </c>
      <c r="N8" s="24">
        <f t="shared" si="5"/>
        <v>19804</v>
      </c>
      <c r="O8" s="24">
        <f t="shared" si="6"/>
        <v>26971</v>
      </c>
      <c r="P8" s="24">
        <f t="shared" si="7"/>
        <v>29599</v>
      </c>
    </row>
    <row r="9" spans="1:22" x14ac:dyDescent="0.3">
      <c r="A9" s="20" t="s">
        <v>38</v>
      </c>
      <c r="B9" s="24">
        <v>33651</v>
      </c>
      <c r="C9" s="24">
        <v>39142</v>
      </c>
      <c r="D9" s="24">
        <v>23550</v>
      </c>
      <c r="E9" s="24">
        <v>18576</v>
      </c>
      <c r="F9" s="24">
        <v>30609</v>
      </c>
      <c r="G9" s="24">
        <v>35528</v>
      </c>
      <c r="H9" s="24">
        <v>181056</v>
      </c>
      <c r="J9" t="str">
        <f t="shared" si="1"/>
        <v>Speaker</v>
      </c>
      <c r="K9" s="24">
        <f t="shared" si="2"/>
        <v>33651</v>
      </c>
      <c r="L9" s="24">
        <f t="shared" si="3"/>
        <v>39142</v>
      </c>
      <c r="M9" s="24">
        <f t="shared" si="4"/>
        <v>23550</v>
      </c>
      <c r="N9" s="24">
        <f t="shared" si="5"/>
        <v>18576</v>
      </c>
      <c r="O9" s="24">
        <f t="shared" si="6"/>
        <v>30609</v>
      </c>
      <c r="P9" s="24">
        <f t="shared" si="7"/>
        <v>35528</v>
      </c>
    </row>
    <row r="10" spans="1:22" x14ac:dyDescent="0.3">
      <c r="A10" s="20" t="s">
        <v>68</v>
      </c>
      <c r="B10" s="24">
        <v>13566</v>
      </c>
      <c r="C10" s="24">
        <v>30213</v>
      </c>
      <c r="D10" s="24">
        <v>45134</v>
      </c>
      <c r="E10" s="24">
        <v>21247</v>
      </c>
      <c r="F10" s="24">
        <v>27503</v>
      </c>
      <c r="G10" s="24">
        <v>43175</v>
      </c>
      <c r="H10" s="24">
        <v>180838</v>
      </c>
      <c r="J10" t="str">
        <f t="shared" si="1"/>
        <v>Printer</v>
      </c>
      <c r="K10" s="24">
        <f t="shared" si="2"/>
        <v>13566</v>
      </c>
      <c r="L10" s="24">
        <f t="shared" si="3"/>
        <v>30213</v>
      </c>
      <c r="M10" s="24">
        <f t="shared" si="4"/>
        <v>45134</v>
      </c>
      <c r="N10" s="24">
        <f t="shared" si="5"/>
        <v>21247</v>
      </c>
      <c r="O10" s="24">
        <f t="shared" si="6"/>
        <v>27503</v>
      </c>
      <c r="P10" s="24">
        <f t="shared" si="7"/>
        <v>43175</v>
      </c>
    </row>
    <row r="11" spans="1:22" x14ac:dyDescent="0.3">
      <c r="A11" s="20" t="s">
        <v>65</v>
      </c>
      <c r="B11" s="24">
        <v>23835</v>
      </c>
      <c r="C11" s="24">
        <v>30347</v>
      </c>
      <c r="D11" s="24">
        <v>18735</v>
      </c>
      <c r="E11" s="24">
        <v>44881</v>
      </c>
      <c r="F11" s="24">
        <v>38056</v>
      </c>
      <c r="G11" s="24">
        <v>20622</v>
      </c>
      <c r="H11" s="24">
        <v>176476</v>
      </c>
      <c r="J11" t="str">
        <f t="shared" si="1"/>
        <v>Keyboard</v>
      </c>
      <c r="K11" s="24">
        <f t="shared" si="2"/>
        <v>23835</v>
      </c>
      <c r="L11" s="24">
        <f t="shared" si="3"/>
        <v>30347</v>
      </c>
      <c r="M11" s="24">
        <f t="shared" si="4"/>
        <v>18735</v>
      </c>
      <c r="N11" s="24">
        <f t="shared" si="5"/>
        <v>44881</v>
      </c>
      <c r="O11" s="24">
        <f t="shared" si="6"/>
        <v>38056</v>
      </c>
      <c r="P11" s="24">
        <f t="shared" si="7"/>
        <v>20622</v>
      </c>
    </row>
    <row r="12" spans="1:22" x14ac:dyDescent="0.3">
      <c r="A12" s="20" t="s">
        <v>24</v>
      </c>
      <c r="B12" s="24">
        <v>27908</v>
      </c>
      <c r="C12" s="24">
        <v>16442</v>
      </c>
      <c r="D12" s="24">
        <v>28958</v>
      </c>
      <c r="E12" s="24">
        <v>23750</v>
      </c>
      <c r="F12" s="24">
        <v>27827</v>
      </c>
      <c r="G12" s="24">
        <v>34194</v>
      </c>
      <c r="H12" s="24">
        <v>159079</v>
      </c>
      <c r="J12" t="str">
        <f t="shared" si="1"/>
        <v>Headphones</v>
      </c>
      <c r="K12" s="24">
        <f t="shared" si="2"/>
        <v>27908</v>
      </c>
      <c r="L12" s="24">
        <f t="shared" si="3"/>
        <v>16442</v>
      </c>
      <c r="M12" s="24">
        <f t="shared" si="4"/>
        <v>28958</v>
      </c>
      <c r="N12" s="24">
        <f t="shared" si="5"/>
        <v>23750</v>
      </c>
      <c r="O12" s="24">
        <f t="shared" si="6"/>
        <v>27827</v>
      </c>
      <c r="P12" s="24">
        <f t="shared" si="7"/>
        <v>34194</v>
      </c>
      <c r="Q12" s="24"/>
      <c r="R12" s="24"/>
      <c r="S12" s="24"/>
      <c r="T12" s="24"/>
      <c r="U12" s="24"/>
      <c r="V12" s="24"/>
    </row>
    <row r="13" spans="1:22" x14ac:dyDescent="0.3">
      <c r="A13" s="20" t="s">
        <v>79</v>
      </c>
      <c r="B13" s="24">
        <v>22324</v>
      </c>
      <c r="C13" s="24">
        <v>22577</v>
      </c>
      <c r="D13" s="24">
        <v>23529</v>
      </c>
      <c r="E13" s="24">
        <v>30543</v>
      </c>
      <c r="F13" s="24">
        <v>25666</v>
      </c>
      <c r="G13" s="24">
        <v>27792</v>
      </c>
      <c r="H13" s="24">
        <v>152431</v>
      </c>
      <c r="J13" t="str">
        <f t="shared" si="1"/>
        <v>Camera</v>
      </c>
      <c r="K13" s="24">
        <f t="shared" si="2"/>
        <v>22324</v>
      </c>
      <c r="L13" s="24">
        <f t="shared" si="3"/>
        <v>22577</v>
      </c>
      <c r="M13" s="24">
        <f t="shared" si="4"/>
        <v>23529</v>
      </c>
      <c r="N13" s="24">
        <f t="shared" si="5"/>
        <v>30543</v>
      </c>
      <c r="O13" s="24">
        <f t="shared" si="6"/>
        <v>25666</v>
      </c>
      <c r="P13" s="24">
        <f t="shared" si="7"/>
        <v>27792</v>
      </c>
    </row>
    <row r="14" spans="1:22" x14ac:dyDescent="0.3">
      <c r="A14" s="20" t="s">
        <v>1348</v>
      </c>
      <c r="B14" s="24">
        <v>322006</v>
      </c>
      <c r="C14" s="24">
        <v>332856</v>
      </c>
      <c r="D14" s="24">
        <v>322562</v>
      </c>
      <c r="E14" s="24">
        <v>302259</v>
      </c>
      <c r="F14" s="24">
        <v>294565</v>
      </c>
      <c r="G14" s="24">
        <v>295975</v>
      </c>
      <c r="H14" s="24">
        <v>1870223</v>
      </c>
    </row>
    <row r="18" spans="9:21" x14ac:dyDescent="0.3">
      <c r="I18" s="24"/>
      <c r="J18" s="24"/>
      <c r="K18" s="24"/>
      <c r="L18" s="24"/>
      <c r="M18" s="24"/>
      <c r="N18" s="24"/>
    </row>
    <row r="21" spans="9:21" x14ac:dyDescent="0.3">
      <c r="P21" s="24"/>
      <c r="Q21" s="24"/>
      <c r="R21" s="24"/>
      <c r="S21" s="24"/>
      <c r="T21" s="24"/>
      <c r="U21" s="24"/>
    </row>
    <row r="22" spans="9:21" x14ac:dyDescent="0.3">
      <c r="O22" s="24"/>
      <c r="P22" s="24"/>
      <c r="Q22" s="24"/>
      <c r="R22" s="24"/>
      <c r="S22" s="24"/>
      <c r="T22" s="24"/>
    </row>
    <row r="31" spans="9:21" x14ac:dyDescent="0.3">
      <c r="P31" s="24"/>
      <c r="Q31" s="24"/>
      <c r="R31" s="24"/>
      <c r="S31" s="24"/>
      <c r="T31" s="24"/>
      <c r="U31" s="24"/>
    </row>
  </sheetData>
  <conditionalFormatting pivot="1" sqref="B4:G13">
    <cfRule type="top10" dxfId="17" priority="22" rank="1"/>
  </conditionalFormatting>
  <conditionalFormatting sqref="K4:P4">
    <cfRule type="top10" dxfId="16" priority="21" rank="1"/>
  </conditionalFormatting>
  <conditionalFormatting sqref="K5:P5">
    <cfRule type="top10" dxfId="15" priority="20" rank="1"/>
  </conditionalFormatting>
  <conditionalFormatting sqref="K6:P6">
    <cfRule type="top10" dxfId="14" priority="19" rank="1"/>
  </conditionalFormatting>
  <conditionalFormatting sqref="K7:P7">
    <cfRule type="top10" dxfId="13" priority="18" rank="1"/>
  </conditionalFormatting>
  <conditionalFormatting sqref="K8:P8">
    <cfRule type="top10" dxfId="12" priority="17" rank="1"/>
  </conditionalFormatting>
  <conditionalFormatting sqref="K9:P9">
    <cfRule type="top10" dxfId="11" priority="16" rank="1"/>
  </conditionalFormatting>
  <conditionalFormatting sqref="K10:P10">
    <cfRule type="top10" dxfId="10" priority="15" rank="1"/>
  </conditionalFormatting>
  <conditionalFormatting sqref="K11:P11">
    <cfRule type="top10" dxfId="9" priority="14" rank="1"/>
  </conditionalFormatting>
  <conditionalFormatting sqref="K12:P12">
    <cfRule type="top10" dxfId="8" priority="13" rank="1"/>
  </conditionalFormatting>
  <conditionalFormatting sqref="K13:P13">
    <cfRule type="top10" dxfId="7" priority="12" rank="1"/>
  </conditionalFormatting>
  <conditionalFormatting sqref="O22:T22">
    <cfRule type="top10" dxfId="6" priority="10" rank="1"/>
  </conditionalFormatting>
  <conditionalFormatting sqref="P21:U21">
    <cfRule type="top10" dxfId="5" priority="8" rank="1"/>
  </conditionalFormatting>
  <conditionalFormatting sqref="Q12:V12">
    <cfRule type="top10" dxfId="4" priority="7" rank="1"/>
  </conditionalFormatting>
  <conditionalFormatting sqref="P31:U31">
    <cfRule type="top10" dxfId="3" priority="5" rank="1"/>
  </conditionalFormatting>
  <conditionalFormatting sqref="I18:N18">
    <cfRule type="top10" dxfId="2" priority="2" rank="1"/>
  </conditionalFormatting>
  <conditionalFormatting sqref="J2:O2">
    <cfRule type="top10" dxfId="1" priority="1" rank="1"/>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16F22-88FB-4BFB-BE4C-0B0B021E55E0}">
  <dimension ref="A1"/>
  <sheetViews>
    <sheetView showGridLines="0" showRowColHeaders="0" tabSelected="1" zoomScale="81" zoomScaleNormal="81" workbookViewId="0">
      <selection activeCell="AB5" sqref="AB5"/>
    </sheetView>
  </sheetViews>
  <sheetFormatPr defaultRowHeight="14.4" x14ac:dyDescent="0.3"/>
  <cols>
    <col min="1" max="16384" width="8.88671875" style="29"/>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7EB65D-036F-47AC-A8EC-3519A5DA25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Initial Data</vt:lpstr>
      <vt:lpstr>Cleaned Data</vt:lpstr>
      <vt:lpstr>Calculated columns Data</vt:lpstr>
      <vt:lpstr>Pivot Table</vt:lpstr>
      <vt:lpstr>rev by month</vt:lpstr>
      <vt:lpstr>rev by product</vt:lpstr>
      <vt:lpstr>Matrix</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Glorex</dc:creator>
  <cp:lastModifiedBy>~ Glorex</cp:lastModifiedBy>
  <dcterms:created xsi:type="dcterms:W3CDTF">2026-03-07T13:53:22Z</dcterms:created>
  <dcterms:modified xsi:type="dcterms:W3CDTF">2026-05-09T11:45:07Z</dcterms:modified>
</cp:coreProperties>
</file>